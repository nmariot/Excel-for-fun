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athy\SkyDrive\Documents\OFFICE\Excel\MVPs\"/>
    </mc:Choice>
  </mc:AlternateContent>
  <bookViews>
    <workbookView xWindow="0" yWindow="0" windowWidth="23040" windowHeight="9396"/>
  </bookViews>
  <sheets>
    <sheet name="Sheet1" sheetId="1" r:id="rId1"/>
    <sheet name="Sheet2" sheetId="2" state="hidden" r:id="rId2"/>
  </sheets>
  <definedNames>
    <definedName name="board">Sheet1!$C$3:$F$6</definedName>
    <definedName name="downswipe">Sheet1!$BL$22:$BO$25</definedName>
    <definedName name="downvalid">Sheet1!$BV$22</definedName>
    <definedName name="gameover">Sheet1!$AD$2</definedName>
    <definedName name="leftswipe">Sheet1!$BL$10:$BO$13</definedName>
    <definedName name="leftvalid">Sheet1!$BV$10</definedName>
    <definedName name="newboard">Sheet1!$Q$36:$T$39</definedName>
    <definedName name="original">Sheet1!$C$10:$F$13</definedName>
    <definedName name="predown">Sheet1!$AW$22:$AZ$25</definedName>
    <definedName name="preleft">Sheet1!$AW$10:$AZ$13</definedName>
    <definedName name="preright">Sheet1!$AW$28:$AZ$31</definedName>
    <definedName name="preup">Sheet1!$AW$16:$AZ$19</definedName>
    <definedName name="rightswipe">Sheet1!$BL$28:$BO$31</definedName>
    <definedName name="rightvalid">Sheet1!$BV$28</definedName>
    <definedName name="upswipe">Sheet1!$BL$16:$BO$19</definedName>
    <definedName name="upvalid">Sheet1!$BV$16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1" l="1"/>
  <c r="J12" i="1"/>
  <c r="M12" i="1"/>
  <c r="C16" i="1"/>
  <c r="L10" i="1" l="1"/>
  <c r="M10" i="1"/>
  <c r="L11" i="1"/>
  <c r="M11" i="1"/>
  <c r="C37" i="1" l="1"/>
  <c r="D37" i="1"/>
  <c r="E37" i="1"/>
  <c r="F37" i="1"/>
  <c r="C38" i="1"/>
  <c r="D38" i="1"/>
  <c r="E38" i="1"/>
  <c r="F38" i="1"/>
  <c r="C39" i="1"/>
  <c r="D39" i="1"/>
  <c r="E39" i="1"/>
  <c r="F39" i="1"/>
  <c r="D36" i="1"/>
  <c r="E36" i="1"/>
  <c r="F36" i="1"/>
  <c r="C36" i="1"/>
  <c r="C29" i="1"/>
  <c r="C30" i="1"/>
  <c r="C31" i="1"/>
  <c r="C28" i="1"/>
  <c r="D29" i="1"/>
  <c r="E29" i="1"/>
  <c r="F29" i="1"/>
  <c r="D30" i="1"/>
  <c r="E30" i="1"/>
  <c r="F30" i="1"/>
  <c r="D31" i="1"/>
  <c r="E31" i="1"/>
  <c r="F31" i="1"/>
  <c r="F28" i="1"/>
  <c r="E28" i="1"/>
  <c r="D28" i="1"/>
  <c r="F25" i="1"/>
  <c r="F24" i="1"/>
  <c r="E25" i="1"/>
  <c r="E24" i="1"/>
  <c r="D25" i="1"/>
  <c r="D24" i="1"/>
  <c r="C25" i="1"/>
  <c r="C24" i="1"/>
  <c r="F23" i="1"/>
  <c r="E23" i="1"/>
  <c r="D23" i="1"/>
  <c r="C23" i="1"/>
  <c r="F22" i="1"/>
  <c r="E22" i="1"/>
  <c r="D22" i="1"/>
  <c r="C22" i="1"/>
  <c r="F19" i="1"/>
  <c r="E19" i="1"/>
  <c r="D19" i="1"/>
  <c r="C19" i="1"/>
  <c r="F18" i="1"/>
  <c r="E18" i="1"/>
  <c r="D18" i="1"/>
  <c r="C18" i="1"/>
  <c r="F17" i="1"/>
  <c r="E17" i="1"/>
  <c r="D17" i="1"/>
  <c r="F16" i="1"/>
  <c r="E16" i="1"/>
  <c r="D16" i="1"/>
  <c r="C17" i="1"/>
  <c r="J11" i="1"/>
  <c r="Q11" i="1" s="1"/>
  <c r="X11" i="1" s="1"/>
  <c r="K11" i="1"/>
  <c r="Q12" i="1"/>
  <c r="X12" i="1" s="1"/>
  <c r="K12" i="1"/>
  <c r="L12" i="1"/>
  <c r="J13" i="1"/>
  <c r="Q13" i="1" s="1"/>
  <c r="X13" i="1" s="1"/>
  <c r="K13" i="1"/>
  <c r="L13" i="1"/>
  <c r="J10" i="1"/>
  <c r="Q10" i="1" s="1"/>
  <c r="X10" i="1" s="1"/>
  <c r="N36" i="1" l="1"/>
  <c r="M39" i="1"/>
  <c r="T39" i="1" s="1"/>
  <c r="M37" i="1"/>
  <c r="T37" i="1" s="1"/>
  <c r="M36" i="1"/>
  <c r="T36" i="1" s="1"/>
  <c r="L39" i="1"/>
  <c r="S39" i="1" s="1"/>
  <c r="L38" i="1"/>
  <c r="S38" i="1" s="1"/>
  <c r="L37" i="1"/>
  <c r="S37" i="1" s="1"/>
  <c r="L36" i="1"/>
  <c r="S36" i="1" s="1"/>
  <c r="K39" i="1"/>
  <c r="R39" i="1" s="1"/>
  <c r="K38" i="1"/>
  <c r="R38" i="1" s="1"/>
  <c r="K37" i="1"/>
  <c r="R37" i="1" s="1"/>
  <c r="M38" i="1"/>
  <c r="T38" i="1" s="1"/>
  <c r="K36" i="1"/>
  <c r="R36" i="1" s="1"/>
  <c r="N39" i="1"/>
  <c r="N38" i="1"/>
  <c r="N37" i="1"/>
  <c r="J39" i="1"/>
  <c r="Q39" i="1" s="1"/>
  <c r="J38" i="1"/>
  <c r="Q38" i="1" s="1"/>
  <c r="J37" i="1"/>
  <c r="Q37" i="1" s="1"/>
  <c r="J36" i="1"/>
  <c r="Q36" i="1" s="1"/>
  <c r="K30" i="1"/>
  <c r="J31" i="1"/>
  <c r="Q31" i="1" s="1"/>
  <c r="X31" i="1" s="1"/>
  <c r="R12" i="1"/>
  <c r="Y12" i="1" s="1"/>
  <c r="AE12" i="1" s="1"/>
  <c r="AK12" i="1" s="1"/>
  <c r="J29" i="1"/>
  <c r="Q29" i="1" s="1"/>
  <c r="X29" i="1" s="1"/>
  <c r="L30" i="1"/>
  <c r="J30" i="1"/>
  <c r="Q30" i="1" s="1"/>
  <c r="X30" i="1" s="1"/>
  <c r="K31" i="1"/>
  <c r="L29" i="1"/>
  <c r="M24" i="1"/>
  <c r="K29" i="1"/>
  <c r="L28" i="1"/>
  <c r="J16" i="1"/>
  <c r="Q16" i="1" s="1"/>
  <c r="X16" i="1" s="1"/>
  <c r="J18" i="1"/>
  <c r="Q18" i="1" s="1"/>
  <c r="X18" i="1" s="1"/>
  <c r="K18" i="1"/>
  <c r="M29" i="1"/>
  <c r="J22" i="1"/>
  <c r="Q22" i="1" s="1"/>
  <c r="X22" i="1" s="1"/>
  <c r="J23" i="1"/>
  <c r="Q23" i="1" s="1"/>
  <c r="X23" i="1" s="1"/>
  <c r="M17" i="1"/>
  <c r="J19" i="1"/>
  <c r="Q19" i="1" s="1"/>
  <c r="X19" i="1" s="1"/>
  <c r="K25" i="1"/>
  <c r="M16" i="1"/>
  <c r="L18" i="1"/>
  <c r="K19" i="1"/>
  <c r="M31" i="1"/>
  <c r="K17" i="1"/>
  <c r="L19" i="1"/>
  <c r="K24" i="1"/>
  <c r="L24" i="1"/>
  <c r="M30" i="1"/>
  <c r="M19" i="1"/>
  <c r="J17" i="1"/>
  <c r="Q17" i="1" s="1"/>
  <c r="X17" i="1" s="1"/>
  <c r="L22" i="1"/>
  <c r="M23" i="1"/>
  <c r="K22" i="1"/>
  <c r="L23" i="1"/>
  <c r="M25" i="1"/>
  <c r="K23" i="1"/>
  <c r="J28" i="1"/>
  <c r="Q28" i="1" s="1"/>
  <c r="X28" i="1" s="1"/>
  <c r="L17" i="1"/>
  <c r="J24" i="1"/>
  <c r="Q24" i="1" s="1"/>
  <c r="X24" i="1" s="1"/>
  <c r="J25" i="1"/>
  <c r="Q25" i="1" s="1"/>
  <c r="X25" i="1" s="1"/>
  <c r="K28" i="1"/>
  <c r="L31" i="1"/>
  <c r="L25" i="1"/>
  <c r="K16" i="1"/>
  <c r="L16" i="1"/>
  <c r="M13" i="1"/>
  <c r="T13" i="1" s="1"/>
  <c r="R10" i="1"/>
  <c r="Y10" i="1" s="1"/>
  <c r="T11" i="1"/>
  <c r="T12" i="1"/>
  <c r="S12" i="1"/>
  <c r="R11" i="1"/>
  <c r="Y11" i="1" s="1"/>
  <c r="AE11" i="1" s="1"/>
  <c r="AK11" i="1" s="1"/>
  <c r="S11" i="1"/>
  <c r="T10" i="1"/>
  <c r="S10" i="1"/>
  <c r="T30" i="1" l="1"/>
  <c r="M18" i="1"/>
  <c r="R18" i="1" s="1"/>
  <c r="Y18" i="1" s="1"/>
  <c r="AE18" i="1" s="1"/>
  <c r="AK18" i="1" s="1"/>
  <c r="R30" i="1"/>
  <c r="Y30" i="1" s="1"/>
  <c r="AE30" i="1" s="1"/>
  <c r="AK30" i="1" s="1"/>
  <c r="R25" i="1"/>
  <c r="Y25" i="1" s="1"/>
  <c r="AE25" i="1" s="1"/>
  <c r="AK25" i="1" s="1"/>
  <c r="R31" i="1"/>
  <c r="Y31" i="1" s="1"/>
  <c r="AE31" i="1" s="1"/>
  <c r="AK31" i="1" s="1"/>
  <c r="S13" i="1"/>
  <c r="AA13" i="1" s="1"/>
  <c r="R23" i="1"/>
  <c r="Y23" i="1" s="1"/>
  <c r="AE23" i="1" s="1"/>
  <c r="AK23" i="1" s="1"/>
  <c r="R29" i="1"/>
  <c r="Y29" i="1" s="1"/>
  <c r="AE29" i="1" s="1"/>
  <c r="AK29" i="1" s="1"/>
  <c r="R13" i="1"/>
  <c r="Y13" i="1" s="1"/>
  <c r="AE13" i="1" s="1"/>
  <c r="AK13" i="1" s="1"/>
  <c r="AQ13" i="1" s="1"/>
  <c r="AW13" i="1" s="1"/>
  <c r="BL13" i="1" s="1"/>
  <c r="M22" i="1"/>
  <c r="S22" i="1" s="1"/>
  <c r="S30" i="1"/>
  <c r="R16" i="1"/>
  <c r="Y16" i="1" s="1"/>
  <c r="AE16" i="1" s="1"/>
  <c r="AK16" i="1" s="1"/>
  <c r="R17" i="1"/>
  <c r="Y17" i="1" s="1"/>
  <c r="AE17" i="1" s="1"/>
  <c r="AK17" i="1" s="1"/>
  <c r="S31" i="1"/>
  <c r="T31" i="1"/>
  <c r="S29" i="1"/>
  <c r="T24" i="1"/>
  <c r="T29" i="1"/>
  <c r="S25" i="1"/>
  <c r="M28" i="1"/>
  <c r="R28" i="1" s="1"/>
  <c r="Y28" i="1" s="1"/>
  <c r="R19" i="1"/>
  <c r="Y19" i="1" s="1"/>
  <c r="AE19" i="1" s="1"/>
  <c r="AK19" i="1" s="1"/>
  <c r="T17" i="1"/>
  <c r="T25" i="1"/>
  <c r="T16" i="1"/>
  <c r="S17" i="1"/>
  <c r="S16" i="1"/>
  <c r="T23" i="1"/>
  <c r="S19" i="1"/>
  <c r="T19" i="1"/>
  <c r="R24" i="1"/>
  <c r="Y24" i="1" s="1"/>
  <c r="AE24" i="1" s="1"/>
  <c r="AK24" i="1" s="1"/>
  <c r="S24" i="1"/>
  <c r="S23" i="1"/>
  <c r="AQ11" i="1"/>
  <c r="AW11" i="1" s="1"/>
  <c r="AQ12" i="1"/>
  <c r="AW12" i="1" s="1"/>
  <c r="AE10" i="1"/>
  <c r="AK10" i="1" s="1"/>
  <c r="Z12" i="1"/>
  <c r="AF12" i="1" s="1"/>
  <c r="AA12" i="1"/>
  <c r="Z11" i="1"/>
  <c r="AF11" i="1" s="1"/>
  <c r="AA11" i="1"/>
  <c r="Z10" i="1"/>
  <c r="AA10" i="1"/>
  <c r="AH10" i="1" s="1"/>
  <c r="BQ12" i="1" l="1"/>
  <c r="BQ11" i="1"/>
  <c r="BQ13" i="1"/>
  <c r="S18" i="1"/>
  <c r="T18" i="1"/>
  <c r="Z30" i="1"/>
  <c r="AF30" i="1" s="1"/>
  <c r="T28" i="1"/>
  <c r="AA30" i="1"/>
  <c r="AH30" i="1" s="1"/>
  <c r="AH13" i="1"/>
  <c r="Z13" i="1"/>
  <c r="AG13" i="1" s="1"/>
  <c r="T22" i="1"/>
  <c r="Z22" i="1" s="1"/>
  <c r="R22" i="1"/>
  <c r="Y22" i="1" s="1"/>
  <c r="AE22" i="1" s="1"/>
  <c r="AK22" i="1" s="1"/>
  <c r="AQ22" i="1" s="1"/>
  <c r="AW25" i="1" s="1"/>
  <c r="S28" i="1"/>
  <c r="AA29" i="1"/>
  <c r="AH29" i="1" s="1"/>
  <c r="Z31" i="1"/>
  <c r="AF31" i="1" s="1"/>
  <c r="Z17" i="1"/>
  <c r="AF17" i="1" s="1"/>
  <c r="Z25" i="1"/>
  <c r="AA31" i="1"/>
  <c r="AH31" i="1" s="1"/>
  <c r="AA24" i="1"/>
  <c r="AH24" i="1" s="1"/>
  <c r="Z29" i="1"/>
  <c r="AF29" i="1" s="1"/>
  <c r="AA25" i="1"/>
  <c r="AH25" i="1" s="1"/>
  <c r="BB12" i="1"/>
  <c r="BB11" i="1"/>
  <c r="BB13" i="1"/>
  <c r="AA17" i="1"/>
  <c r="AH17" i="1" s="1"/>
  <c r="AA23" i="1"/>
  <c r="AH23" i="1" s="1"/>
  <c r="AE28" i="1"/>
  <c r="AK28" i="1" s="1"/>
  <c r="AQ28" i="1" s="1"/>
  <c r="AZ28" i="1" s="1"/>
  <c r="AA16" i="1"/>
  <c r="AH16" i="1" s="1"/>
  <c r="Z16" i="1"/>
  <c r="AF16" i="1" s="1"/>
  <c r="AG12" i="1"/>
  <c r="AL12" i="1" s="1"/>
  <c r="AH12" i="1"/>
  <c r="Z19" i="1"/>
  <c r="AA19" i="1"/>
  <c r="AH19" i="1" s="1"/>
  <c r="Z23" i="1"/>
  <c r="AQ24" i="1"/>
  <c r="AY25" i="1" s="1"/>
  <c r="Z24" i="1"/>
  <c r="AQ17" i="1"/>
  <c r="AY16" i="1" s="1"/>
  <c r="BN16" i="1" s="1"/>
  <c r="AG11" i="1"/>
  <c r="AH11" i="1"/>
  <c r="AQ30" i="1"/>
  <c r="AZ30" i="1" s="1"/>
  <c r="AQ31" i="1"/>
  <c r="AZ31" i="1" s="1"/>
  <c r="AQ29" i="1"/>
  <c r="AZ29" i="1" s="1"/>
  <c r="AQ25" i="1"/>
  <c r="AZ25" i="1" s="1"/>
  <c r="AQ23" i="1"/>
  <c r="AX25" i="1" s="1"/>
  <c r="AQ16" i="1"/>
  <c r="AZ16" i="1" s="1"/>
  <c r="AQ19" i="1"/>
  <c r="AW16" i="1" s="1"/>
  <c r="AG10" i="1"/>
  <c r="AQ18" i="1"/>
  <c r="AX16" i="1" s="1"/>
  <c r="AF10" i="1"/>
  <c r="AQ10" i="1"/>
  <c r="AW10" i="1" s="1"/>
  <c r="BT31" i="1" l="1"/>
  <c r="BO31" i="1"/>
  <c r="BT30" i="1"/>
  <c r="BT28" i="1"/>
  <c r="BT29" i="1"/>
  <c r="BT25" i="1"/>
  <c r="BS25" i="1"/>
  <c r="BN25" i="1"/>
  <c r="BQ25" i="1"/>
  <c r="BR25" i="1"/>
  <c r="BQ16" i="1"/>
  <c r="BQ10" i="1"/>
  <c r="BS16" i="1"/>
  <c r="BT16" i="1"/>
  <c r="BR16" i="1"/>
  <c r="AA18" i="1"/>
  <c r="AH18" i="1" s="1"/>
  <c r="AF13" i="1"/>
  <c r="AM13" i="1" s="1"/>
  <c r="Z18" i="1"/>
  <c r="AF18" i="1" s="1"/>
  <c r="AA22" i="1"/>
  <c r="AH22" i="1" s="1"/>
  <c r="AA28" i="1"/>
  <c r="AH28" i="1" s="1"/>
  <c r="AG30" i="1"/>
  <c r="AL30" i="1" s="1"/>
  <c r="BB25" i="1"/>
  <c r="Z28" i="1"/>
  <c r="AF28" i="1" s="1"/>
  <c r="AG25" i="1"/>
  <c r="AF25" i="1"/>
  <c r="AM11" i="1"/>
  <c r="AG23" i="1"/>
  <c r="AF23" i="1"/>
  <c r="AG31" i="1"/>
  <c r="AN31" i="1" s="1"/>
  <c r="AG24" i="1"/>
  <c r="AG29" i="1"/>
  <c r="AN29" i="1" s="1"/>
  <c r="AF24" i="1"/>
  <c r="AF22" i="1"/>
  <c r="BE28" i="1"/>
  <c r="BE31" i="1"/>
  <c r="BE30" i="1"/>
  <c r="BE29" i="1"/>
  <c r="BC25" i="1"/>
  <c r="BD25" i="1"/>
  <c r="BE25" i="1"/>
  <c r="BD16" i="1"/>
  <c r="BC16" i="1"/>
  <c r="BB16" i="1"/>
  <c r="BE16" i="1"/>
  <c r="AG16" i="1"/>
  <c r="AL16" i="1" s="1"/>
  <c r="BB10" i="1"/>
  <c r="AN12" i="1"/>
  <c r="AG17" i="1"/>
  <c r="AG19" i="1"/>
  <c r="AF19" i="1"/>
  <c r="AM12" i="1"/>
  <c r="AN11" i="1"/>
  <c r="AL11" i="1"/>
  <c r="AN10" i="1"/>
  <c r="AM10" i="1"/>
  <c r="AL10" i="1"/>
  <c r="AN13" i="1" l="1"/>
  <c r="AT13" i="1" s="1"/>
  <c r="AZ13" i="1" s="1"/>
  <c r="AL13" i="1"/>
  <c r="AR13" i="1" s="1"/>
  <c r="AX13" i="1" s="1"/>
  <c r="AG18" i="1"/>
  <c r="AL18" i="1" s="1"/>
  <c r="AG28" i="1"/>
  <c r="AN28" i="1" s="1"/>
  <c r="AG22" i="1"/>
  <c r="AL22" i="1" s="1"/>
  <c r="AR11" i="1"/>
  <c r="AX11" i="1" s="1"/>
  <c r="AN30" i="1"/>
  <c r="AM30" i="1"/>
  <c r="AR30" i="1" s="1"/>
  <c r="AY30" i="1" s="1"/>
  <c r="AL31" i="1"/>
  <c r="AM31" i="1"/>
  <c r="AS31" i="1" s="1"/>
  <c r="AX31" i="1" s="1"/>
  <c r="AN23" i="1"/>
  <c r="AM25" i="1"/>
  <c r="AM29" i="1"/>
  <c r="AS29" i="1" s="1"/>
  <c r="AX29" i="1" s="1"/>
  <c r="AL23" i="1"/>
  <c r="AM23" i="1"/>
  <c r="AN25" i="1"/>
  <c r="AT11" i="1"/>
  <c r="AZ11" i="1" s="1"/>
  <c r="AL25" i="1"/>
  <c r="AL29" i="1"/>
  <c r="AL24" i="1"/>
  <c r="AM24" i="1"/>
  <c r="AN24" i="1"/>
  <c r="AN16" i="1"/>
  <c r="AM16" i="1"/>
  <c r="AT12" i="1"/>
  <c r="AZ12" i="1" s="1"/>
  <c r="AS12" i="1"/>
  <c r="AY12" i="1" s="1"/>
  <c r="AR12" i="1"/>
  <c r="AX12" i="1" s="1"/>
  <c r="AM17" i="1"/>
  <c r="AL17" i="1"/>
  <c r="AN17" i="1"/>
  <c r="AM19" i="1"/>
  <c r="AL19" i="1"/>
  <c r="AN19" i="1"/>
  <c r="AS11" i="1"/>
  <c r="AY11" i="1" s="1"/>
  <c r="AT10" i="1"/>
  <c r="AZ10" i="1" s="1"/>
  <c r="AS10" i="1"/>
  <c r="AY10" i="1" s="1"/>
  <c r="AR10" i="1"/>
  <c r="AX10" i="1" s="1"/>
  <c r="BS30" i="1" l="1"/>
  <c r="BR31" i="1"/>
  <c r="BR29" i="1"/>
  <c r="BR12" i="1"/>
  <c r="BS11" i="1"/>
  <c r="BS12" i="1"/>
  <c r="BR11" i="1"/>
  <c r="BR13" i="1"/>
  <c r="BT12" i="1"/>
  <c r="BT11" i="1"/>
  <c r="BT13" i="1"/>
  <c r="BT10" i="1"/>
  <c r="BS10" i="1"/>
  <c r="BR10" i="1"/>
  <c r="BD30" i="1"/>
  <c r="BC11" i="1"/>
  <c r="BE11" i="1"/>
  <c r="AS13" i="1"/>
  <c r="AY13" i="1" s="1"/>
  <c r="AN18" i="1"/>
  <c r="AL28" i="1"/>
  <c r="AM18" i="1"/>
  <c r="AM28" i="1"/>
  <c r="AS28" i="1" s="1"/>
  <c r="AX28" i="1" s="1"/>
  <c r="AN22" i="1"/>
  <c r="AS23" i="1"/>
  <c r="AX23" i="1" s="1"/>
  <c r="AM22" i="1"/>
  <c r="AR22" i="1" s="1"/>
  <c r="AW24" i="1" s="1"/>
  <c r="AT25" i="1"/>
  <c r="AZ22" i="1" s="1"/>
  <c r="AS30" i="1"/>
  <c r="AX30" i="1" s="1"/>
  <c r="AT30" i="1"/>
  <c r="AW30" i="1" s="1"/>
  <c r="AT31" i="1"/>
  <c r="AW31" i="1" s="1"/>
  <c r="AR31" i="1"/>
  <c r="AY31" i="1" s="1"/>
  <c r="AT29" i="1"/>
  <c r="AW29" i="1" s="1"/>
  <c r="AR25" i="1"/>
  <c r="AZ24" i="1" s="1"/>
  <c r="AT23" i="1"/>
  <c r="AX22" i="1" s="1"/>
  <c r="AR29" i="1"/>
  <c r="AY29" i="1" s="1"/>
  <c r="AR23" i="1"/>
  <c r="AX24" i="1" s="1"/>
  <c r="AS25" i="1"/>
  <c r="AZ23" i="1" s="1"/>
  <c r="AR24" i="1"/>
  <c r="AY24" i="1" s="1"/>
  <c r="AS24" i="1"/>
  <c r="AY23" i="1" s="1"/>
  <c r="AT24" i="1"/>
  <c r="AY22" i="1" s="1"/>
  <c r="AT16" i="1"/>
  <c r="AZ19" i="1" s="1"/>
  <c r="BC31" i="1"/>
  <c r="BC29" i="1"/>
  <c r="AR16" i="1"/>
  <c r="AZ17" i="1" s="1"/>
  <c r="AS16" i="1"/>
  <c r="AZ18" i="1" s="1"/>
  <c r="BE13" i="1"/>
  <c r="BE12" i="1"/>
  <c r="BC12" i="1"/>
  <c r="BC13" i="1"/>
  <c r="BD11" i="1"/>
  <c r="BD12" i="1"/>
  <c r="BD10" i="1"/>
  <c r="BC10" i="1"/>
  <c r="BE10" i="1"/>
  <c r="AR17" i="1"/>
  <c r="AY17" i="1" s="1"/>
  <c r="AT17" i="1"/>
  <c r="AY19" i="1" s="1"/>
  <c r="AT19" i="1"/>
  <c r="AW19" i="1" s="1"/>
  <c r="AR19" i="1"/>
  <c r="AW17" i="1" s="1"/>
  <c r="AS17" i="1"/>
  <c r="AY18" i="1" s="1"/>
  <c r="AS19" i="1"/>
  <c r="AW18" i="1" s="1"/>
  <c r="BQ31" i="1" l="1"/>
  <c r="BQ30" i="1"/>
  <c r="BQ29" i="1"/>
  <c r="BR30" i="1"/>
  <c r="BS29" i="1"/>
  <c r="BS31" i="1"/>
  <c r="BR28" i="1"/>
  <c r="BS22" i="1"/>
  <c r="BR24" i="1"/>
  <c r="BS23" i="1"/>
  <c r="BT22" i="1"/>
  <c r="BS24" i="1"/>
  <c r="BR22" i="1"/>
  <c r="BQ24" i="1"/>
  <c r="BT23" i="1"/>
  <c r="BT24" i="1"/>
  <c r="BR23" i="1"/>
  <c r="BS19" i="1"/>
  <c r="BQ18" i="1"/>
  <c r="BS18" i="1"/>
  <c r="BQ17" i="1"/>
  <c r="BT17" i="1"/>
  <c r="BS17" i="1"/>
  <c r="BQ19" i="1"/>
  <c r="BT18" i="1"/>
  <c r="BT19" i="1"/>
  <c r="BS13" i="1"/>
  <c r="BV10" i="1" s="1"/>
  <c r="BB29" i="1"/>
  <c r="BD29" i="1"/>
  <c r="BD31" i="1"/>
  <c r="BC28" i="1"/>
  <c r="BC30" i="1"/>
  <c r="BB31" i="1"/>
  <c r="BB30" i="1"/>
  <c r="BB24" i="1"/>
  <c r="BE23" i="1"/>
  <c r="BE24" i="1"/>
  <c r="BC23" i="1"/>
  <c r="BC22" i="1"/>
  <c r="BD22" i="1"/>
  <c r="BC24" i="1"/>
  <c r="BD24" i="1"/>
  <c r="BD23" i="1"/>
  <c r="BE22" i="1"/>
  <c r="BE18" i="1"/>
  <c r="BE19" i="1"/>
  <c r="BD13" i="1"/>
  <c r="BG10" i="1" s="1"/>
  <c r="BL10" i="1" s="1"/>
  <c r="AS18" i="1"/>
  <c r="AX18" i="1" s="1"/>
  <c r="AR18" i="1"/>
  <c r="AX17" i="1" s="1"/>
  <c r="AT18" i="1"/>
  <c r="AX19" i="1" s="1"/>
  <c r="AR28" i="1"/>
  <c r="AY28" i="1" s="1"/>
  <c r="AT28" i="1"/>
  <c r="AW28" i="1" s="1"/>
  <c r="AS22" i="1"/>
  <c r="AW23" i="1" s="1"/>
  <c r="AT22" i="1"/>
  <c r="AW22" i="1" s="1"/>
  <c r="BE17" i="1"/>
  <c r="BB19" i="1"/>
  <c r="BB18" i="1"/>
  <c r="BD19" i="1"/>
  <c r="BD17" i="1"/>
  <c r="BD18" i="1"/>
  <c r="BB17" i="1"/>
  <c r="BQ28" i="1" l="1"/>
  <c r="BS28" i="1"/>
  <c r="BQ23" i="1"/>
  <c r="BQ22" i="1"/>
  <c r="BR18" i="1"/>
  <c r="BR19" i="1"/>
  <c r="BR17" i="1"/>
  <c r="BJ12" i="1"/>
  <c r="BO12" i="1" s="1"/>
  <c r="BH10" i="1"/>
  <c r="BM10" i="1" s="1"/>
  <c r="BI13" i="1"/>
  <c r="BN13" i="1" s="1"/>
  <c r="BI12" i="1"/>
  <c r="BN12" i="1" s="1"/>
  <c r="BJ10" i="1"/>
  <c r="BO10" i="1" s="1"/>
  <c r="BG13" i="1"/>
  <c r="BI11" i="1"/>
  <c r="BN11" i="1" s="1"/>
  <c r="BJ13" i="1"/>
  <c r="BO13" i="1" s="1"/>
  <c r="BI10" i="1"/>
  <c r="BN10" i="1" s="1"/>
  <c r="BG11" i="1"/>
  <c r="BL11" i="1" s="1"/>
  <c r="BH11" i="1"/>
  <c r="BM11" i="1" s="1"/>
  <c r="BG12" i="1"/>
  <c r="BL12" i="1" s="1"/>
  <c r="BH13" i="1"/>
  <c r="BM13" i="1" s="1"/>
  <c r="BH12" i="1"/>
  <c r="BM12" i="1" s="1"/>
  <c r="BJ11" i="1"/>
  <c r="BO11" i="1" s="1"/>
  <c r="BD28" i="1"/>
  <c r="BB28" i="1"/>
  <c r="BB23" i="1"/>
  <c r="BB22" i="1"/>
  <c r="BC17" i="1"/>
  <c r="BC18" i="1"/>
  <c r="BC19" i="1"/>
  <c r="BV28" i="1" l="1"/>
  <c r="BV16" i="1"/>
  <c r="BV22" i="1"/>
  <c r="BJ28" i="1"/>
  <c r="BO28" i="1" s="1"/>
  <c r="BJ25" i="1"/>
  <c r="BO25" i="1" s="1"/>
  <c r="BI22" i="1"/>
  <c r="BN22" i="1" s="1"/>
  <c r="BJ24" i="1"/>
  <c r="BO24" i="1" s="1"/>
  <c r="BJ22" i="1"/>
  <c r="BO22" i="1" s="1"/>
  <c r="BJ29" i="1"/>
  <c r="BO29" i="1" s="1"/>
  <c r="BG25" i="1"/>
  <c r="BL25" i="1" s="1"/>
  <c r="BG29" i="1"/>
  <c r="BL29" i="1" s="1"/>
  <c r="BH29" i="1"/>
  <c r="BM29" i="1" s="1"/>
  <c r="BG17" i="1"/>
  <c r="BL17" i="1" s="1"/>
  <c r="BH31" i="1"/>
  <c r="BM31" i="1" s="1"/>
  <c r="BI30" i="1"/>
  <c r="BN30" i="1" s="1"/>
  <c r="BG24" i="1"/>
  <c r="BL24" i="1" s="1"/>
  <c r="BG28" i="1"/>
  <c r="BL28" i="1" s="1"/>
  <c r="BG31" i="1"/>
  <c r="BL31" i="1" s="1"/>
  <c r="BH30" i="1"/>
  <c r="BM30" i="1" s="1"/>
  <c r="BJ30" i="1"/>
  <c r="BO30" i="1" s="1"/>
  <c r="BH23" i="1"/>
  <c r="BM23" i="1" s="1"/>
  <c r="BH25" i="1"/>
  <c r="BM25" i="1" s="1"/>
  <c r="BI25" i="1"/>
  <c r="BG22" i="1"/>
  <c r="BL22" i="1" s="1"/>
  <c r="BH28" i="1"/>
  <c r="BM28" i="1" s="1"/>
  <c r="BI29" i="1"/>
  <c r="BN29" i="1" s="1"/>
  <c r="BG30" i="1"/>
  <c r="BL30" i="1" s="1"/>
  <c r="BI23" i="1"/>
  <c r="BN23" i="1" s="1"/>
  <c r="BI24" i="1"/>
  <c r="BN24" i="1" s="1"/>
  <c r="BG23" i="1"/>
  <c r="BL23" i="1" s="1"/>
  <c r="BI28" i="1"/>
  <c r="BN28" i="1" s="1"/>
  <c r="BI31" i="1"/>
  <c r="BN31" i="1" s="1"/>
  <c r="BJ31" i="1"/>
  <c r="BH22" i="1"/>
  <c r="BM22" i="1" s="1"/>
  <c r="BH24" i="1"/>
  <c r="BM24" i="1" s="1"/>
  <c r="BJ23" i="1"/>
  <c r="BO23" i="1" s="1"/>
  <c r="BG16" i="1"/>
  <c r="BL16" i="1" s="1"/>
  <c r="BJ18" i="1"/>
  <c r="BO18" i="1" s="1"/>
  <c r="BI18" i="1"/>
  <c r="BN18" i="1" s="1"/>
  <c r="BG18" i="1"/>
  <c r="BL18" i="1" s="1"/>
  <c r="BI16" i="1"/>
  <c r="BH18" i="1"/>
  <c r="BM18" i="1" s="1"/>
  <c r="BJ19" i="1"/>
  <c r="BO19" i="1" s="1"/>
  <c r="BJ17" i="1"/>
  <c r="BO17" i="1" s="1"/>
  <c r="BH16" i="1"/>
  <c r="BM16" i="1" s="1"/>
  <c r="BI19" i="1"/>
  <c r="BN19" i="1" s="1"/>
  <c r="BG19" i="1"/>
  <c r="BL19" i="1" s="1"/>
  <c r="BI17" i="1"/>
  <c r="BN17" i="1" s="1"/>
  <c r="BJ16" i="1"/>
  <c r="BO16" i="1" s="1"/>
  <c r="BH17" i="1"/>
  <c r="BM17" i="1" s="1"/>
  <c r="BH19" i="1"/>
  <c r="BM19" i="1" s="1"/>
  <c r="AD2" i="1" l="1"/>
  <c r="BH6" i="1"/>
</calcChain>
</file>

<file path=xl/sharedStrings.xml><?xml version="1.0" encoding="utf-8"?>
<sst xmlns="http://schemas.openxmlformats.org/spreadsheetml/2006/main" count="24" uniqueCount="24">
  <si>
    <t>remove first zero</t>
  </si>
  <si>
    <t>remove second zero</t>
  </si>
  <si>
    <t>first doubling</t>
  </si>
  <si>
    <t>second doubling</t>
  </si>
  <si>
    <t>last doubling</t>
  </si>
  <si>
    <t>swipe left</t>
  </si>
  <si>
    <t>remove third zero</t>
  </si>
  <si>
    <t>swipe up</t>
  </si>
  <si>
    <t>swipe down</t>
  </si>
  <si>
    <t>swipe right</t>
  </si>
  <si>
    <t>after swipe</t>
  </si>
  <si>
    <t>original</t>
  </si>
  <si>
    <t>Start</t>
  </si>
  <si>
    <t>End</t>
  </si>
  <si>
    <t>new game</t>
  </si>
  <si>
    <t>Valid move?</t>
  </si>
  <si>
    <t>Double numbers, if possible</t>
  </si>
  <si>
    <t>Remove sandwiched zeros, if possible</t>
  </si>
  <si>
    <t>Where should the new number be?</t>
  </si>
  <si>
    <t xml:space="preserve">final </t>
  </si>
  <si>
    <t>location</t>
  </si>
  <si>
    <t>is it a valid move?</t>
  </si>
  <si>
    <t>Old &lt;&gt; new</t>
  </si>
  <si>
    <t>Game 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</si>
</sst>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000000"/>
      <name val="Segoe UI Light"/>
      <family val="2"/>
    </font>
    <font>
      <sz val="11"/>
      <color rgb="FF000000"/>
      <name val="Segoe UI Light"/>
      <family val="2"/>
    </font>
    <font>
      <sz val="18"/>
      <color rgb="FF000000"/>
      <name val="Segoe UI Light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1" fillId="2" borderId="18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Fill="1" applyAlignment="1">
      <alignment horizontal="center" vertical="center"/>
    </xf>
  </cellXfs>
  <cellStyles count="1">
    <cellStyle name="Normal" xfId="0" builtinId="0"/>
  </cellStyles>
  <dxfs count="43">
    <dxf>
      <font>
        <color auto="1"/>
      </font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F2A16A"/>
        </patternFill>
      </fill>
    </dxf>
    <dxf>
      <font>
        <color theme="0"/>
      </font>
      <fill>
        <patternFill>
          <bgColor theme="5" tint="0.59996337778862885"/>
        </patternFill>
      </fill>
    </dxf>
    <dxf>
      <font>
        <color theme="0"/>
      </font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F2A16A"/>
        </patternFill>
      </fill>
    </dxf>
    <dxf>
      <font>
        <color theme="0"/>
      </font>
      <fill>
        <patternFill>
          <bgColor theme="5" tint="0.59996337778862885"/>
        </patternFill>
      </fill>
    </dxf>
    <dxf>
      <font>
        <color theme="0"/>
      </font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F2A16A"/>
        </patternFill>
      </fill>
    </dxf>
    <dxf>
      <font>
        <color theme="0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F2A16A"/>
        </patternFill>
      </fill>
    </dxf>
    <dxf>
      <font>
        <color theme="0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rgb="FFC00000"/>
      </font>
      <fill>
        <patternFill>
          <bgColor rgb="FFFEBEBE"/>
        </patternFill>
      </fill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F2A16A"/>
        </patternFill>
      </fill>
    </dxf>
    <dxf>
      <font>
        <color theme="0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F2A16A"/>
        </patternFill>
      </fill>
    </dxf>
    <dxf>
      <font>
        <color theme="0"/>
      </font>
      <fill>
        <patternFill>
          <bgColor theme="5" tint="0.59996337778862885"/>
        </patternFill>
      </fill>
    </dxf>
    <dxf>
      <font>
        <color theme="0"/>
      </font>
    </dxf>
    <dxf>
      <font>
        <color auto="1"/>
      </font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F2A16A"/>
        </patternFill>
      </fill>
    </dxf>
    <dxf>
      <font>
        <color theme="0"/>
      </font>
      <fill>
        <patternFill>
          <bgColor theme="5" tint="0.59996337778862885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EBEBE"/>
      <color rgb="FFFE9C9C"/>
      <color rgb="FFF2A1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5</xdr:row>
          <xdr:rowOff>106680</xdr:rowOff>
        </xdr:from>
        <xdr:to>
          <xdr:col>10</xdr:col>
          <xdr:colOff>236220</xdr:colOff>
          <xdr:row>5</xdr:row>
          <xdr:rowOff>952500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Segoe UI Light"/>
                  <a:cs typeface="Segoe UI Light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91440</xdr:colOff>
          <xdr:row>5</xdr:row>
          <xdr:rowOff>129540</xdr:rowOff>
        </xdr:from>
        <xdr:to>
          <xdr:col>20</xdr:col>
          <xdr:colOff>30480</xdr:colOff>
          <xdr:row>6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Segoe UI Light"/>
                  <a:cs typeface="Segoe UI Light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5</xdr:row>
          <xdr:rowOff>106680</xdr:rowOff>
        </xdr:from>
        <xdr:to>
          <xdr:col>15</xdr:col>
          <xdr:colOff>114300</xdr:colOff>
          <xdr:row>5</xdr:row>
          <xdr:rowOff>960120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Segoe UI Light"/>
                  <a:cs typeface="Segoe UI Light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4</xdr:row>
          <xdr:rowOff>129540</xdr:rowOff>
        </xdr:from>
        <xdr:to>
          <xdr:col>15</xdr:col>
          <xdr:colOff>114300</xdr:colOff>
          <xdr:row>5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Segoe UI Light"/>
                  <a:cs typeface="Segoe UI Light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815340</xdr:colOff>
          <xdr:row>6</xdr:row>
          <xdr:rowOff>220980</xdr:rowOff>
        </xdr:from>
        <xdr:to>
          <xdr:col>3</xdr:col>
          <xdr:colOff>601980</xdr:colOff>
          <xdr:row>7</xdr:row>
          <xdr:rowOff>739140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Segoe UI Light"/>
                  <a:cs typeface="Segoe UI Light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6</xdr:row>
          <xdr:rowOff>182880</xdr:rowOff>
        </xdr:from>
        <xdr:to>
          <xdr:col>13</xdr:col>
          <xdr:colOff>121920</xdr:colOff>
          <xdr:row>7</xdr:row>
          <xdr:rowOff>335280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Segoe UI Light"/>
                  <a:cs typeface="Segoe UI Light"/>
                </a:rPr>
                <a:t>keyboard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6</xdr:row>
          <xdr:rowOff>182880</xdr:rowOff>
        </xdr:from>
        <xdr:to>
          <xdr:col>20</xdr:col>
          <xdr:colOff>45720</xdr:colOff>
          <xdr:row>7</xdr:row>
          <xdr:rowOff>327660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Segoe UI Light"/>
                  <a:cs typeface="Segoe UI Light"/>
                </a:rPr>
                <a:t>keyboard off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Z41"/>
  <sheetViews>
    <sheetView showGridLines="0" tabSelected="1" zoomScale="73" zoomScaleNormal="73" workbookViewId="0"/>
  </sheetViews>
  <sheetFormatPr baseColWidth="10" defaultColWidth="9.109375" defaultRowHeight="14.4" x14ac:dyDescent="0.3"/>
  <cols>
    <col min="1" max="1" width="12.33203125" style="1" customWidth="1"/>
    <col min="2" max="2" width="49.5546875" style="1" hidden="1" customWidth="1"/>
    <col min="3" max="6" width="16.5546875" style="1" customWidth="1"/>
    <col min="7" max="29" width="3.5546875" style="1" customWidth="1"/>
    <col min="30" max="30" width="10.109375" style="1" customWidth="1"/>
    <col min="31" max="52" width="3.5546875" style="1" customWidth="1"/>
    <col min="53" max="53" width="9.88671875" style="1" customWidth="1"/>
    <col min="54" max="54" width="6.109375" style="1" customWidth="1"/>
    <col min="55" max="55" width="5.88671875" style="1" customWidth="1"/>
    <col min="56" max="56" width="6.33203125" style="1" customWidth="1"/>
    <col min="57" max="57" width="7.5546875" style="1" customWidth="1"/>
    <col min="58" max="62" width="3.5546875" style="1" customWidth="1"/>
    <col min="63" max="63" width="4.6640625" style="1" customWidth="1"/>
    <col min="64" max="89" width="3.5546875" style="1" customWidth="1"/>
    <col min="90" max="16384" width="9.109375" style="1"/>
  </cols>
  <sheetData>
    <row r="1" spans="1:78" ht="102" customHeight="1" x14ac:dyDescent="0.3">
      <c r="Y1" s="56"/>
      <c r="Z1" s="56"/>
      <c r="AA1" s="56"/>
      <c r="AB1" s="57"/>
      <c r="AC1" s="57"/>
      <c r="AD1" s="57"/>
      <c r="AE1" s="57"/>
      <c r="AF1" s="3"/>
      <c r="AG1" s="3"/>
    </row>
    <row r="2" spans="1:78" ht="18.75" customHeight="1" thickBot="1" x14ac:dyDescent="0.35">
      <c r="C2"/>
      <c r="D2"/>
      <c r="E2"/>
      <c r="F2"/>
      <c r="G2"/>
      <c r="H2"/>
      <c r="I2"/>
      <c r="J2"/>
      <c r="K2"/>
      <c r="L2"/>
      <c r="M2"/>
      <c r="N2"/>
      <c r="O2"/>
      <c r="Y2" s="56"/>
      <c r="Z2" s="56"/>
      <c r="AA2" s="56"/>
      <c r="AB2" s="58" t="s">
        <v>23</v>
      </c>
      <c r="AC2" s="57"/>
      <c r="AD2" s="57" t="b">
        <f ca="1">AND((MIN(board)&lt;&gt;0), (MIN(leftswipe)&lt;&gt;0), (MIN(rightswipe)&lt;&gt;0), (MIN(upswipe)&lt;&gt;0), (MIN(downswipe)&lt;&gt;0))</f>
        <v>0</v>
      </c>
      <c r="AE2" s="57"/>
      <c r="AF2" s="3"/>
      <c r="AG2" s="3"/>
    </row>
    <row r="3" spans="1:78" ht="75.75" customHeight="1" x14ac:dyDescent="0.3">
      <c r="C3" s="40">
        <v>0</v>
      </c>
      <c r="D3" s="41">
        <v>0</v>
      </c>
      <c r="E3" s="41">
        <v>0</v>
      </c>
      <c r="F3" s="44">
        <v>2</v>
      </c>
      <c r="G3"/>
      <c r="H3"/>
      <c r="I3"/>
      <c r="J3"/>
      <c r="K3"/>
      <c r="L3"/>
      <c r="M3"/>
      <c r="N3"/>
      <c r="O3"/>
      <c r="Y3" s="56"/>
      <c r="Z3" s="56"/>
      <c r="AA3" s="56"/>
      <c r="AB3" s="57"/>
      <c r="AC3" s="57"/>
      <c r="AD3" s="56"/>
      <c r="AE3" s="57"/>
      <c r="AF3" s="3"/>
      <c r="AG3" s="3"/>
    </row>
    <row r="4" spans="1:78" ht="75.75" customHeight="1" x14ac:dyDescent="0.3">
      <c r="C4" s="39">
        <v>0</v>
      </c>
      <c r="D4" s="38">
        <v>0</v>
      </c>
      <c r="E4" s="38">
        <v>0</v>
      </c>
      <c r="F4" s="45">
        <v>0</v>
      </c>
      <c r="G4"/>
      <c r="H4"/>
      <c r="I4"/>
      <c r="J4"/>
      <c r="K4"/>
      <c r="L4"/>
      <c r="M4"/>
      <c r="N4"/>
      <c r="O4"/>
      <c r="AB4" s="3"/>
      <c r="AC4" s="3"/>
      <c r="AD4" s="3"/>
      <c r="AE4" s="3"/>
      <c r="AF4" s="3"/>
      <c r="AG4" s="3"/>
    </row>
    <row r="5" spans="1:78" ht="75.75" customHeight="1" x14ac:dyDescent="0.3">
      <c r="C5" s="39">
        <v>0</v>
      </c>
      <c r="D5" s="38">
        <v>0</v>
      </c>
      <c r="E5" s="38">
        <v>2</v>
      </c>
      <c r="F5" s="45">
        <v>0</v>
      </c>
      <c r="G5"/>
      <c r="H5"/>
      <c r="I5"/>
      <c r="J5"/>
      <c r="K5"/>
      <c r="L5"/>
      <c r="M5"/>
      <c r="N5"/>
      <c r="O5"/>
    </row>
    <row r="6" spans="1:78" ht="75.75" customHeight="1" thickBot="1" x14ac:dyDescent="0.35">
      <c r="C6" s="42">
        <v>0</v>
      </c>
      <c r="D6" s="43">
        <v>0</v>
      </c>
      <c r="E6" s="43">
        <v>0</v>
      </c>
      <c r="F6" s="46">
        <v>0</v>
      </c>
      <c r="G6"/>
      <c r="H6"/>
      <c r="I6"/>
      <c r="J6"/>
      <c r="K6"/>
      <c r="L6"/>
      <c r="M6"/>
      <c r="N6"/>
      <c r="O6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BH6" s="1">
        <f ca="1">INDEX(BG16:BJ19, 1, 1)</f>
        <v>0</v>
      </c>
    </row>
    <row r="7" spans="1:78" ht="18.75" customHeight="1" x14ac:dyDescent="0.3">
      <c r="C7" s="8"/>
      <c r="D7" s="8"/>
      <c r="E7" s="8"/>
      <c r="F7" s="8"/>
      <c r="G7"/>
      <c r="H7"/>
      <c r="I7"/>
      <c r="J7"/>
      <c r="K7"/>
      <c r="L7"/>
      <c r="M7"/>
      <c r="N7"/>
      <c r="O7"/>
      <c r="P7" s="34"/>
      <c r="Q7" s="34"/>
      <c r="R7" s="34"/>
      <c r="S7" s="34"/>
      <c r="T7" s="34"/>
      <c r="V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</row>
    <row r="8" spans="1:78" ht="178.5" customHeight="1" x14ac:dyDescent="0.3">
      <c r="C8" s="8"/>
      <c r="D8" s="8"/>
      <c r="E8" s="8"/>
      <c r="F8" s="8"/>
      <c r="G8"/>
      <c r="H8"/>
      <c r="I8" s="53" t="s">
        <v>17</v>
      </c>
      <c r="J8" s="8"/>
      <c r="K8" s="8"/>
      <c r="L8" s="8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53" t="s">
        <v>16</v>
      </c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W8" s="54" t="s">
        <v>10</v>
      </c>
      <c r="BB8" s="53" t="s">
        <v>18</v>
      </c>
      <c r="BL8" s="55" t="s">
        <v>19</v>
      </c>
      <c r="BQ8" s="54" t="s">
        <v>21</v>
      </c>
    </row>
    <row r="9" spans="1:78" ht="18" customHeight="1" thickBot="1" x14ac:dyDescent="0.35">
      <c r="C9" s="3" t="s">
        <v>11</v>
      </c>
      <c r="I9" s="20"/>
      <c r="J9" s="21" t="s">
        <v>0</v>
      </c>
      <c r="K9" s="21"/>
      <c r="L9" s="21"/>
      <c r="M9" s="21"/>
      <c r="N9" s="21"/>
      <c r="O9" s="21"/>
      <c r="P9" s="21"/>
      <c r="Q9" s="21" t="s">
        <v>1</v>
      </c>
      <c r="R9" s="21"/>
      <c r="S9" s="21"/>
      <c r="T9" s="21"/>
      <c r="U9" s="21"/>
      <c r="V9" s="21"/>
      <c r="W9" s="21"/>
      <c r="X9" s="21" t="s">
        <v>6</v>
      </c>
      <c r="Y9" s="21"/>
      <c r="Z9" s="21"/>
      <c r="AA9" s="21"/>
      <c r="AB9" s="21"/>
      <c r="AC9" s="21"/>
      <c r="AD9" s="47"/>
      <c r="AE9" s="21" t="s">
        <v>2</v>
      </c>
      <c r="AF9" s="21"/>
      <c r="AG9" s="21"/>
      <c r="AH9" s="21"/>
      <c r="AI9" s="21"/>
      <c r="AJ9" s="21"/>
      <c r="AK9" s="21" t="s">
        <v>3</v>
      </c>
      <c r="AL9" s="21"/>
      <c r="AM9" s="21"/>
      <c r="AN9" s="21"/>
      <c r="AO9" s="21"/>
      <c r="AP9" s="21"/>
      <c r="AQ9" s="21" t="s">
        <v>4</v>
      </c>
      <c r="AR9" s="21"/>
      <c r="AS9" s="21"/>
      <c r="AT9" s="19"/>
      <c r="AU9" s="51"/>
      <c r="AV9" s="4"/>
      <c r="AX9" s="3"/>
      <c r="AY9" s="3"/>
      <c r="AZ9" s="3"/>
      <c r="BB9" s="20"/>
      <c r="BC9" s="20"/>
      <c r="BD9" s="20"/>
      <c r="BE9" s="20"/>
      <c r="BF9" s="20"/>
      <c r="BG9" s="20" t="s">
        <v>20</v>
      </c>
      <c r="BH9" s="20"/>
      <c r="BI9" s="20"/>
      <c r="BJ9" s="20"/>
      <c r="BK9" s="3"/>
      <c r="BL9" s="3"/>
      <c r="BM9" s="3"/>
      <c r="BN9" s="3"/>
      <c r="BQ9" s="20" t="s">
        <v>22</v>
      </c>
      <c r="BR9" s="18"/>
      <c r="BS9" s="18"/>
      <c r="BT9" s="18"/>
      <c r="BU9" s="18"/>
      <c r="BV9" s="20" t="s">
        <v>15</v>
      </c>
      <c r="BW9" s="18"/>
      <c r="BX9" s="18"/>
      <c r="BY9" s="18"/>
      <c r="BZ9" s="18"/>
    </row>
    <row r="10" spans="1:78" ht="18" customHeight="1" x14ac:dyDescent="0.3">
      <c r="A10" s="1" t="s">
        <v>5</v>
      </c>
      <c r="B10" s="6"/>
      <c r="C10" s="10">
        <v>0</v>
      </c>
      <c r="D10" s="11">
        <v>0</v>
      </c>
      <c r="E10" s="11">
        <v>0</v>
      </c>
      <c r="F10" s="12">
        <v>0</v>
      </c>
      <c r="G10" s="8"/>
      <c r="H10" s="8"/>
      <c r="I10" s="22"/>
      <c r="J10" s="23">
        <f ca="1">IFERROR(OFFSET(C10, 0, MATCH(TRUE,INDEX(C10:F10&lt;&gt;0,),0)-1),0)</f>
        <v>0</v>
      </c>
      <c r="K10" s="23">
        <f ca="1">IFERROR(OFFSET(C10, 0, MATCH(TRUE,INDEX(C10:F10&lt;&gt;0,),0)),0)</f>
        <v>0</v>
      </c>
      <c r="L10" s="23">
        <f ca="1">IFERROR(OFFSET(C10, 0, MATCH(TRUE,INDEX(C10:F10&lt;&gt;0,),0)+1),0)</f>
        <v>0</v>
      </c>
      <c r="M10" s="23">
        <f ca="1">IFERROR(OFFSET(C10, 0, MATCH(TRUE,INDEX(C10:F10&lt;&gt;0,),0)+2),0)</f>
        <v>0</v>
      </c>
      <c r="N10" s="23"/>
      <c r="O10" s="23"/>
      <c r="P10" s="23"/>
      <c r="Q10" s="23">
        <f ca="1">J10</f>
        <v>0</v>
      </c>
      <c r="R10" s="23">
        <f ca="1">IFERROR(OFFSET(K10, 0, MATCH(TRUE,INDEX(K10:M10&lt;&gt;0,),0)-1),0)</f>
        <v>0</v>
      </c>
      <c r="S10" s="23">
        <f ca="1">IFERROR(OFFSET(K10, 0, MATCH(TRUE,INDEX(K10:M10&lt;&gt;0,),0)),0)</f>
        <v>0</v>
      </c>
      <c r="T10" s="23">
        <f ca="1">IFERROR(OFFSET(K10, 0, MATCH(TRUE,INDEX(K10:M10&lt;&gt;0,),0)+1),0)</f>
        <v>0</v>
      </c>
      <c r="U10" s="23"/>
      <c r="V10" s="23"/>
      <c r="W10" s="23"/>
      <c r="X10" s="23">
        <f ca="1">Q10</f>
        <v>0</v>
      </c>
      <c r="Y10" s="23">
        <f ca="1">R10</f>
        <v>0</v>
      </c>
      <c r="Z10" s="23">
        <f ca="1">IFERROR(OFFSET(S10, 0, MATCH(TRUE,INDEX(S10:T10&lt;&gt;0,),0)-1),0)</f>
        <v>0</v>
      </c>
      <c r="AA10" s="23">
        <f ca="1">IFERROR(OFFSET(S10, 0, MATCH(TRUE,INDEX(S10:T10&lt;&gt;0,),0)),0)</f>
        <v>0</v>
      </c>
      <c r="AB10" s="23"/>
      <c r="AC10" s="23"/>
      <c r="AD10" s="48"/>
      <c r="AE10" s="23">
        <f ca="1">IF(X10=Y10, SUM(X10, Y10), X10)</f>
        <v>0</v>
      </c>
      <c r="AF10" s="23">
        <f ca="1">IF(X10=Y10, Z10, Y10)</f>
        <v>0</v>
      </c>
      <c r="AG10" s="23">
        <f ca="1">IF(X10=Y10, AA10, Z10)</f>
        <v>0</v>
      </c>
      <c r="AH10" s="23">
        <f ca="1">IF(X10=Y10, AD10, AA10)</f>
        <v>0</v>
      </c>
      <c r="AI10" s="23"/>
      <c r="AJ10" s="23"/>
      <c r="AK10" s="23">
        <f ca="1">AE10</f>
        <v>0</v>
      </c>
      <c r="AL10" s="23">
        <f ca="1">IF(AF10=AG10, SUM(AF10, AG10), AF10)</f>
        <v>0</v>
      </c>
      <c r="AM10" s="23">
        <f ca="1">IF(AF10=AG10, AH10, AG10)</f>
        <v>0</v>
      </c>
      <c r="AN10" s="23">
        <f ca="1">IF(AF10=AG10, AI10, AH10)</f>
        <v>0</v>
      </c>
      <c r="AO10" s="23"/>
      <c r="AP10" s="23"/>
      <c r="AQ10" s="23">
        <f ca="1">AK10</f>
        <v>0</v>
      </c>
      <c r="AR10" s="23">
        <f ca="1">IF(AL10=AM10, SUM(AL10, AM10), AL10)</f>
        <v>0</v>
      </c>
      <c r="AS10" s="23">
        <f ca="1">IF(AM10=AN10, SUM(AM10, AN10), AM10)</f>
        <v>0</v>
      </c>
      <c r="AT10" s="23">
        <f ca="1">IF(AN10=AM10, AO10, AN10)</f>
        <v>0</v>
      </c>
      <c r="AU10" s="52"/>
      <c r="AV10" s="5"/>
      <c r="AW10" s="25">
        <f ca="1">AQ10</f>
        <v>0</v>
      </c>
      <c r="AX10" s="26">
        <f ca="1">AR10</f>
        <v>0</v>
      </c>
      <c r="AY10" s="26">
        <f ca="1">AS10</f>
        <v>0</v>
      </c>
      <c r="AZ10" s="27">
        <f ca="1">AT10</f>
        <v>0</v>
      </c>
      <c r="BB10" s="36">
        <f ca="1">IF(AW10&gt;0, AW10, RAND())</f>
        <v>0.25191204165672643</v>
      </c>
      <c r="BC10" s="36">
        <f t="shared" ref="BC10:BE10" ca="1" si="0">IF(AX10&gt;0, AX10, RAND())</f>
        <v>0.74947504895842365</v>
      </c>
      <c r="BD10" s="36">
        <f t="shared" ca="1" si="0"/>
        <v>0.51426767644747451</v>
      </c>
      <c r="BE10" s="37">
        <f t="shared" ca="1" si="0"/>
        <v>0.54409677637576748</v>
      </c>
      <c r="BF10" s="36"/>
      <c r="BG10" s="36">
        <f ca="1">IF( MIN($BB$10:$BE$13) = BB10, 1, 0)</f>
        <v>0</v>
      </c>
      <c r="BH10" s="36">
        <f t="shared" ref="BH10:BJ10" ca="1" si="1">IF( MIN($BB$10:$BE$13) = BC10, 1, 0)</f>
        <v>0</v>
      </c>
      <c r="BI10" s="36">
        <f t="shared" ca="1" si="1"/>
        <v>0</v>
      </c>
      <c r="BJ10" s="36">
        <f t="shared" ca="1" si="1"/>
        <v>0</v>
      </c>
      <c r="BL10" s="25">
        <f ca="1">IF(AW10&gt;0, AW10, IF(BG10=1,2,0))</f>
        <v>0</v>
      </c>
      <c r="BM10" s="26">
        <f ca="1">IF(AX10&gt;0, AX10, IF(BH10=1,2,0))</f>
        <v>0</v>
      </c>
      <c r="BN10" s="26">
        <f ca="1">IF(AY10&gt;0, AY10, IF(BI10=1,2,0))</f>
        <v>0</v>
      </c>
      <c r="BO10" s="27">
        <f ca="1">IF(AZ10&gt;0, AZ10, IF(BJ10=1,2,0))</f>
        <v>0</v>
      </c>
      <c r="BQ10" s="35">
        <f ca="1">IF(C10=AW10, 0,1)</f>
        <v>0</v>
      </c>
      <c r="BR10" s="35">
        <f t="shared" ref="BR10:BT10" ca="1" si="2">IF(D10=AX10, 0,1)</f>
        <v>0</v>
      </c>
      <c r="BS10" s="35">
        <f t="shared" ca="1" si="2"/>
        <v>0</v>
      </c>
      <c r="BT10" s="35">
        <f t="shared" ca="1" si="2"/>
        <v>0</v>
      </c>
      <c r="BU10" s="18"/>
      <c r="BV10" s="18">
        <f ca="1">IF(MAX(BQ10:BT13)=0,0,1)</f>
        <v>1</v>
      </c>
      <c r="BW10" s="18"/>
      <c r="BX10" s="18"/>
      <c r="BY10" s="18"/>
      <c r="BZ10" s="18"/>
    </row>
    <row r="11" spans="1:78" ht="18" customHeight="1" x14ac:dyDescent="0.3">
      <c r="A11" s="6"/>
      <c r="B11" s="6"/>
      <c r="C11" s="13">
        <v>0</v>
      </c>
      <c r="D11" s="7">
        <v>0</v>
      </c>
      <c r="E11" s="7">
        <v>0</v>
      </c>
      <c r="F11" s="14">
        <v>0</v>
      </c>
      <c r="G11" s="8"/>
      <c r="H11" s="8"/>
      <c r="I11" s="22"/>
      <c r="J11" s="23">
        <f ca="1">IFERROR(OFFSET(C11, 0, MATCH(TRUE,INDEX(C11:F11&lt;&gt;0,),0)-1),0)</f>
        <v>0</v>
      </c>
      <c r="K11" s="23">
        <f ca="1">IFERROR(OFFSET(C11, 0, MATCH(TRUE,INDEX(C11:F11&lt;&gt;0,),0)),0)</f>
        <v>0</v>
      </c>
      <c r="L11" s="23">
        <f ca="1">IFERROR(OFFSET(C11, 0, MATCH(TRUE,INDEX(C11:F11&lt;&gt;0,),0)+1),0)</f>
        <v>0</v>
      </c>
      <c r="M11" s="23">
        <f ca="1">IFERROR(OFFSET(C11, 0, MATCH(TRUE,INDEX(C11:F11&lt;&gt;0,),0)+2),0)</f>
        <v>0</v>
      </c>
      <c r="N11" s="23"/>
      <c r="O11" s="23"/>
      <c r="P11" s="23"/>
      <c r="Q11" s="23">
        <f t="shared" ref="Q11:Q13" ca="1" si="3">J11</f>
        <v>0</v>
      </c>
      <c r="R11" s="23">
        <f t="shared" ref="R11:R13" ca="1" si="4">IFERROR(OFFSET(K11, 0, MATCH(TRUE,INDEX(K11:M11&lt;&gt;0,),0)-1),0)</f>
        <v>0</v>
      </c>
      <c r="S11" s="23">
        <f t="shared" ref="S11:S13" ca="1" si="5">IFERROR(OFFSET(K11, 0, MATCH(TRUE,INDEX(K11:M11&lt;&gt;0,),0)),0)</f>
        <v>0</v>
      </c>
      <c r="T11" s="23">
        <f t="shared" ref="T11:T13" ca="1" si="6">IFERROR(OFFSET(K11, 0, MATCH(TRUE,INDEX(K11:M11&lt;&gt;0,),0)+1),0)</f>
        <v>0</v>
      </c>
      <c r="U11" s="23"/>
      <c r="V11" s="23"/>
      <c r="W11" s="23"/>
      <c r="X11" s="23">
        <f t="shared" ref="X11:X13" ca="1" si="7">Q11</f>
        <v>0</v>
      </c>
      <c r="Y11" s="23">
        <f t="shared" ref="Y11:Y13" ca="1" si="8">R11</f>
        <v>0</v>
      </c>
      <c r="Z11" s="23">
        <f t="shared" ref="Z11:Z13" ca="1" si="9">IFERROR(OFFSET(S11, 0, MATCH(TRUE,INDEX(S11:T11&lt;&gt;0,),0)-1),0)</f>
        <v>0</v>
      </c>
      <c r="AA11" s="23">
        <f t="shared" ref="AA11:AA13" ca="1" si="10">IFERROR(OFFSET(S11, 0, MATCH(TRUE,INDEX(S11:T11&lt;&gt;0,),0)),0)</f>
        <v>0</v>
      </c>
      <c r="AB11" s="23"/>
      <c r="AC11" s="23"/>
      <c r="AD11" s="48"/>
      <c r="AE11" s="23">
        <f t="shared" ref="AE11:AE13" ca="1" si="11">IF(X11=Y11, SUM(X11, Y11), X11)</f>
        <v>0</v>
      </c>
      <c r="AF11" s="23">
        <f t="shared" ref="AF11:AF13" ca="1" si="12">IF(X11=Y11, Z11, Y11)</f>
        <v>0</v>
      </c>
      <c r="AG11" s="23">
        <f t="shared" ref="AG11:AG13" ca="1" si="13">IF(X11=Y11, AA11, Z11)</f>
        <v>0</v>
      </c>
      <c r="AH11" s="23">
        <f t="shared" ref="AH11:AH13" ca="1" si="14">IF(X11=Y11, AD11, AA11)</f>
        <v>0</v>
      </c>
      <c r="AI11" s="23"/>
      <c r="AJ11" s="23"/>
      <c r="AK11" s="23">
        <f t="shared" ref="AK11:AK13" ca="1" si="15">AE11</f>
        <v>0</v>
      </c>
      <c r="AL11" s="23">
        <f ca="1">IF(AF11=AG11, SUM(AF11, AG11), AF11)</f>
        <v>0</v>
      </c>
      <c r="AM11" s="23">
        <f t="shared" ref="AM11:AM13" ca="1" si="16">IF(AF11=AG11, AH11, AG11)</f>
        <v>0</v>
      </c>
      <c r="AN11" s="23">
        <f t="shared" ref="AN11:AN13" ca="1" si="17">IF(AF11=AG11, AI11, AH11)</f>
        <v>0</v>
      </c>
      <c r="AO11" s="23"/>
      <c r="AP11" s="23"/>
      <c r="AQ11" s="23">
        <f t="shared" ref="AQ11:AQ13" ca="1" si="18">AK11</f>
        <v>0</v>
      </c>
      <c r="AR11" s="23">
        <f t="shared" ref="AR11:AR13" ca="1" si="19">IF(AL11=AM11, SUM(AL11, AM11), AL11)</f>
        <v>0</v>
      </c>
      <c r="AS11" s="23">
        <f ca="1">IF(AM11=AN11, SUM(AM11, AN11), AM11)</f>
        <v>0</v>
      </c>
      <c r="AT11" s="23">
        <f ca="1">IF(AN11=AM11, AO11, AN11)</f>
        <v>0</v>
      </c>
      <c r="AU11" s="52"/>
      <c r="AV11" s="5"/>
      <c r="AW11" s="28">
        <f t="shared" ref="AW11:AW13" ca="1" si="20">AQ11</f>
        <v>0</v>
      </c>
      <c r="AX11" s="9">
        <f t="shared" ref="AX11:AX13" ca="1" si="21">AR11</f>
        <v>0</v>
      </c>
      <c r="AY11" s="9">
        <f t="shared" ref="AY11:AY13" ca="1" si="22">AS11</f>
        <v>0</v>
      </c>
      <c r="AZ11" s="29">
        <f t="shared" ref="AZ11:AZ13" ca="1" si="23">AT11</f>
        <v>0</v>
      </c>
      <c r="BB11" s="36">
        <f t="shared" ref="BB11:BB13" ca="1" si="24">IF(AW11&gt;0, AW11, RAND())</f>
        <v>0.56628445545554762</v>
      </c>
      <c r="BC11" s="36">
        <f t="shared" ref="BC11:BC13" ca="1" si="25">IF(AX11&gt;0, AX11, RAND())</f>
        <v>0.59805767019275746</v>
      </c>
      <c r="BD11" s="36">
        <f t="shared" ref="BD11:BD13" ca="1" si="26">IF(AY11&gt;0, AY11, RAND())</f>
        <v>0.42795183828648109</v>
      </c>
      <c r="BE11" s="37">
        <f t="shared" ref="BE11:BE13" ca="1" si="27">IF(AZ11&gt;0, AZ11, RAND())</f>
        <v>0.21841879732508285</v>
      </c>
      <c r="BF11" s="36"/>
      <c r="BG11" s="36">
        <f t="shared" ref="BG11:BG13" ca="1" si="28">IF( MIN($BB$10:$BE$13) = BB11, 1, 0)</f>
        <v>0</v>
      </c>
      <c r="BH11" s="36">
        <f t="shared" ref="BH11:BH13" ca="1" si="29">IF( MIN($BB$10:$BE$13) = BC11, 1, 0)</f>
        <v>0</v>
      </c>
      <c r="BI11" s="36">
        <f t="shared" ref="BI11:BI13" ca="1" si="30">IF( MIN($BB$10:$BE$13) = BD11, 1, 0)</f>
        <v>0</v>
      </c>
      <c r="BJ11" s="36">
        <f t="shared" ref="BJ11:BJ13" ca="1" si="31">IF( MIN($BB$10:$BE$13) = BE11, 1, 0)</f>
        <v>0</v>
      </c>
      <c r="BL11" s="28">
        <f ca="1">IF(AW11&gt;0, AW11, IF(BG11=1,2,0))</f>
        <v>0</v>
      </c>
      <c r="BM11" s="9">
        <f ca="1">IF(AX11&gt;0, AX11, IF(BH11=1,2,0))</f>
        <v>0</v>
      </c>
      <c r="BN11" s="9">
        <f ca="1">IF(AY11&gt;0, AY11, IF(BI11=1,2,0))</f>
        <v>0</v>
      </c>
      <c r="BO11" s="29">
        <f ca="1">IF(AZ11&gt;0, AZ11, IF(BJ11=1,2,0))</f>
        <v>0</v>
      </c>
      <c r="BQ11" s="35">
        <f t="shared" ref="BQ11:BQ13" ca="1" si="32">IF(C11=AW11, 0,1)</f>
        <v>0</v>
      </c>
      <c r="BR11" s="35">
        <f t="shared" ref="BR11:BR13" ca="1" si="33">IF(D11=AX11, 0,1)</f>
        <v>0</v>
      </c>
      <c r="BS11" s="35">
        <f t="shared" ref="BS11:BS13" ca="1" si="34">IF(E11=AY11, 0,1)</f>
        <v>0</v>
      </c>
      <c r="BT11" s="35">
        <f ca="1">IF(F11=AZ11, 0,1)</f>
        <v>0</v>
      </c>
      <c r="BU11" s="18"/>
      <c r="BV11" s="18"/>
      <c r="BW11" s="18"/>
      <c r="BX11" s="18"/>
      <c r="BY11" s="18"/>
      <c r="BZ11" s="18"/>
    </row>
    <row r="12" spans="1:78" ht="18" customHeight="1" x14ac:dyDescent="0.3">
      <c r="A12" s="6"/>
      <c r="B12" s="6"/>
      <c r="C12" s="13">
        <v>0</v>
      </c>
      <c r="D12" s="7">
        <v>0</v>
      </c>
      <c r="E12" s="7">
        <v>0</v>
      </c>
      <c r="F12" s="14">
        <v>0</v>
      </c>
      <c r="G12" s="8"/>
      <c r="H12" s="8"/>
      <c r="I12" s="22"/>
      <c r="J12" s="23">
        <f ca="1">IFERROR(OFFSET(C12, 0, MATCH(TRUE,INDEX(C12:F12&lt;&gt;0,),0)-1),0)</f>
        <v>0</v>
      </c>
      <c r="K12" s="23">
        <f ca="1">IFERROR(OFFSET(C12, 0, MATCH(TRUE,INDEX(C12:F12&lt;&gt;0,),0)),0)</f>
        <v>0</v>
      </c>
      <c r="L12" s="23">
        <f ca="1">IFERROR(OFFSET(C12, 0, MATCH(TRUE,INDEX(C12:F12&lt;&gt;0,),0)+1),0)</f>
        <v>0</v>
      </c>
      <c r="M12" s="23">
        <f ca="1">IFERROR(OFFSET(C12, 0, MATCH(TRUE,INDEX(C12:F12&lt;&gt;0,),0)+2),0)</f>
        <v>0</v>
      </c>
      <c r="N12" s="23"/>
      <c r="O12" s="23"/>
      <c r="P12" s="23"/>
      <c r="Q12" s="23">
        <f t="shared" ca="1" si="3"/>
        <v>0</v>
      </c>
      <c r="R12" s="23">
        <f t="shared" ca="1" si="4"/>
        <v>0</v>
      </c>
      <c r="S12" s="23">
        <f t="shared" ca="1" si="5"/>
        <v>0</v>
      </c>
      <c r="T12" s="23">
        <f t="shared" ca="1" si="6"/>
        <v>0</v>
      </c>
      <c r="U12" s="23"/>
      <c r="V12" s="23"/>
      <c r="W12" s="23"/>
      <c r="X12" s="23">
        <f t="shared" ca="1" si="7"/>
        <v>0</v>
      </c>
      <c r="Y12" s="23">
        <f t="shared" ca="1" si="8"/>
        <v>0</v>
      </c>
      <c r="Z12" s="23">
        <f t="shared" ca="1" si="9"/>
        <v>0</v>
      </c>
      <c r="AA12" s="23">
        <f t="shared" ca="1" si="10"/>
        <v>0</v>
      </c>
      <c r="AB12" s="23"/>
      <c r="AC12" s="23"/>
      <c r="AD12" s="48"/>
      <c r="AE12" s="23">
        <f t="shared" ca="1" si="11"/>
        <v>0</v>
      </c>
      <c r="AF12" s="23">
        <f t="shared" ca="1" si="12"/>
        <v>0</v>
      </c>
      <c r="AG12" s="23">
        <f t="shared" ca="1" si="13"/>
        <v>0</v>
      </c>
      <c r="AH12" s="23">
        <f t="shared" ca="1" si="14"/>
        <v>0</v>
      </c>
      <c r="AI12" s="23"/>
      <c r="AJ12" s="23"/>
      <c r="AK12" s="23">
        <f t="shared" ca="1" si="15"/>
        <v>0</v>
      </c>
      <c r="AL12" s="23">
        <f t="shared" ref="AL12:AL13" ca="1" si="35">IF(AF12=AG12, SUM(AF12, AG12), AF12)</f>
        <v>0</v>
      </c>
      <c r="AM12" s="23">
        <f t="shared" ca="1" si="16"/>
        <v>0</v>
      </c>
      <c r="AN12" s="23">
        <f t="shared" ca="1" si="17"/>
        <v>0</v>
      </c>
      <c r="AO12" s="23"/>
      <c r="AP12" s="23"/>
      <c r="AQ12" s="23">
        <f t="shared" ca="1" si="18"/>
        <v>0</v>
      </c>
      <c r="AR12" s="23">
        <f t="shared" ca="1" si="19"/>
        <v>0</v>
      </c>
      <c r="AS12" s="23">
        <f ca="1">IF(AM12=AN12, SUM(AM12, AN12), AM12)</f>
        <v>0</v>
      </c>
      <c r="AT12" s="23">
        <f ca="1">IF(AN12=AM12, AO12, AN12)</f>
        <v>0</v>
      </c>
      <c r="AU12" s="52"/>
      <c r="AV12" s="5"/>
      <c r="AW12" s="28">
        <f t="shared" ca="1" si="20"/>
        <v>0</v>
      </c>
      <c r="AX12" s="9">
        <f t="shared" ca="1" si="21"/>
        <v>0</v>
      </c>
      <c r="AY12" s="9">
        <f t="shared" ca="1" si="22"/>
        <v>0</v>
      </c>
      <c r="AZ12" s="29">
        <f t="shared" ca="1" si="23"/>
        <v>0</v>
      </c>
      <c r="BB12" s="36">
        <f t="shared" ca="1" si="24"/>
        <v>0.87047644742600327</v>
      </c>
      <c r="BC12" s="36">
        <f t="shared" ca="1" si="25"/>
        <v>0.66887296690966991</v>
      </c>
      <c r="BD12" s="36">
        <f t="shared" ca="1" si="26"/>
        <v>0.97498607904596135</v>
      </c>
      <c r="BE12" s="37">
        <f t="shared" ca="1" si="27"/>
        <v>0.51479075329201918</v>
      </c>
      <c r="BF12" s="36"/>
      <c r="BG12" s="36">
        <f t="shared" ca="1" si="28"/>
        <v>0</v>
      </c>
      <c r="BH12" s="36">
        <f t="shared" ca="1" si="29"/>
        <v>0</v>
      </c>
      <c r="BI12" s="36">
        <f t="shared" ca="1" si="30"/>
        <v>0</v>
      </c>
      <c r="BJ12" s="36">
        <f t="shared" ca="1" si="31"/>
        <v>0</v>
      </c>
      <c r="BL12" s="28">
        <f ca="1">IF(AW12&gt;0, AW12, IF(BG12=1,2,0))</f>
        <v>0</v>
      </c>
      <c r="BM12" s="9">
        <f ca="1">IF(AX12&gt;0, AX12, IF(BH12=1,2,0))</f>
        <v>0</v>
      </c>
      <c r="BN12" s="9">
        <f ca="1">IF(AY12&gt;0, AY12, IF(BI12=1,2,0))</f>
        <v>0</v>
      </c>
      <c r="BO12" s="29">
        <f ca="1">IF(AZ12&gt;0, AZ12, IF(BJ12=1,2,0))</f>
        <v>0</v>
      </c>
      <c r="BQ12" s="35">
        <f t="shared" ca="1" si="32"/>
        <v>0</v>
      </c>
      <c r="BR12" s="35">
        <f t="shared" ca="1" si="33"/>
        <v>0</v>
      </c>
      <c r="BS12" s="35">
        <f t="shared" ca="1" si="34"/>
        <v>0</v>
      </c>
      <c r="BT12" s="35">
        <f t="shared" ref="BT12:BT13" ca="1" si="36">IF(F12=AZ12, 0,1)</f>
        <v>0</v>
      </c>
      <c r="BU12" s="18"/>
      <c r="BV12" s="18"/>
      <c r="BW12" s="18"/>
      <c r="BX12" s="18"/>
      <c r="BY12" s="18"/>
      <c r="BZ12" s="18"/>
    </row>
    <row r="13" spans="1:78" ht="18" customHeight="1" thickBot="1" x14ac:dyDescent="0.35">
      <c r="A13" s="6"/>
      <c r="B13" s="6"/>
      <c r="C13" s="15">
        <v>2</v>
      </c>
      <c r="D13" s="16">
        <v>0</v>
      </c>
      <c r="E13" s="16">
        <v>2</v>
      </c>
      <c r="F13" s="17">
        <v>0</v>
      </c>
      <c r="G13" s="8"/>
      <c r="H13" s="8"/>
      <c r="I13" s="22"/>
      <c r="J13" s="23">
        <f ca="1">IFERROR(OFFSET(C13, 0, MATCH(TRUE,INDEX(C13:F13&lt;&gt;0,),0)-1),0)</f>
        <v>2</v>
      </c>
      <c r="K13" s="23">
        <f ca="1">IFERROR(OFFSET(C13, 0, MATCH(TRUE,INDEX(C13:F13&lt;&gt;0,),0)),0)</f>
        <v>0</v>
      </c>
      <c r="L13" s="23">
        <f ca="1">IFERROR(OFFSET(C13, 0, MATCH(TRUE,INDEX(C13:F13&lt;&gt;0,),0)+1),0)</f>
        <v>2</v>
      </c>
      <c r="M13" s="23">
        <f ca="1">IFERROR(OFFSET(C13, 0, MATCH(TRUE,INDEX(C13:F13&lt;&gt;0,),0)+2),0)</f>
        <v>0</v>
      </c>
      <c r="N13" s="23"/>
      <c r="O13" s="23"/>
      <c r="P13" s="23"/>
      <c r="Q13" s="23">
        <f t="shared" ca="1" si="3"/>
        <v>2</v>
      </c>
      <c r="R13" s="23">
        <f t="shared" ca="1" si="4"/>
        <v>2</v>
      </c>
      <c r="S13" s="23">
        <f t="shared" ca="1" si="5"/>
        <v>0</v>
      </c>
      <c r="T13" s="23">
        <f t="shared" ca="1" si="6"/>
        <v>0</v>
      </c>
      <c r="U13" s="23"/>
      <c r="V13" s="23"/>
      <c r="W13" s="23"/>
      <c r="X13" s="23">
        <f t="shared" ca="1" si="7"/>
        <v>2</v>
      </c>
      <c r="Y13" s="23">
        <f t="shared" ca="1" si="8"/>
        <v>2</v>
      </c>
      <c r="Z13" s="23">
        <f t="shared" ca="1" si="9"/>
        <v>0</v>
      </c>
      <c r="AA13" s="23">
        <f t="shared" ca="1" si="10"/>
        <v>0</v>
      </c>
      <c r="AB13" s="23"/>
      <c r="AC13" s="23"/>
      <c r="AD13" s="48"/>
      <c r="AE13" s="23">
        <f t="shared" ca="1" si="11"/>
        <v>4</v>
      </c>
      <c r="AF13" s="23">
        <f t="shared" ca="1" si="12"/>
        <v>0</v>
      </c>
      <c r="AG13" s="23">
        <f t="shared" ca="1" si="13"/>
        <v>0</v>
      </c>
      <c r="AH13" s="23">
        <f t="shared" ca="1" si="14"/>
        <v>0</v>
      </c>
      <c r="AI13" s="23"/>
      <c r="AJ13" s="23"/>
      <c r="AK13" s="23">
        <f t="shared" ca="1" si="15"/>
        <v>4</v>
      </c>
      <c r="AL13" s="23">
        <f t="shared" ca="1" si="35"/>
        <v>0</v>
      </c>
      <c r="AM13" s="23">
        <f t="shared" ca="1" si="16"/>
        <v>0</v>
      </c>
      <c r="AN13" s="23">
        <f t="shared" ca="1" si="17"/>
        <v>0</v>
      </c>
      <c r="AO13" s="23"/>
      <c r="AP13" s="23"/>
      <c r="AQ13" s="23">
        <f t="shared" ca="1" si="18"/>
        <v>4</v>
      </c>
      <c r="AR13" s="23">
        <f t="shared" ca="1" si="19"/>
        <v>0</v>
      </c>
      <c r="AS13" s="23">
        <f ca="1">IF(AM13=AN13, SUM(AM13, AN13), AM13)</f>
        <v>0</v>
      </c>
      <c r="AT13" s="23">
        <f ca="1">IF(AN13=AM13, AO13, AN13)</f>
        <v>0</v>
      </c>
      <c r="AU13" s="52"/>
      <c r="AV13" s="5"/>
      <c r="AW13" s="30">
        <f t="shared" ca="1" si="20"/>
        <v>4</v>
      </c>
      <c r="AX13" s="31">
        <f t="shared" ca="1" si="21"/>
        <v>0</v>
      </c>
      <c r="AY13" s="31">
        <f t="shared" ca="1" si="22"/>
        <v>0</v>
      </c>
      <c r="AZ13" s="32">
        <f t="shared" ca="1" si="23"/>
        <v>0</v>
      </c>
      <c r="BB13" s="36">
        <f t="shared" ca="1" si="24"/>
        <v>4</v>
      </c>
      <c r="BC13" s="36">
        <f t="shared" ca="1" si="25"/>
        <v>0.30951244671670519</v>
      </c>
      <c r="BD13" s="36">
        <f t="shared" ca="1" si="26"/>
        <v>0.26081649190909384</v>
      </c>
      <c r="BE13" s="37">
        <f t="shared" ca="1" si="27"/>
        <v>0.10932399902438383</v>
      </c>
      <c r="BF13" s="36"/>
      <c r="BG13" s="36">
        <f t="shared" ca="1" si="28"/>
        <v>0</v>
      </c>
      <c r="BH13" s="36">
        <f t="shared" ca="1" si="29"/>
        <v>0</v>
      </c>
      <c r="BI13" s="36">
        <f t="shared" ca="1" si="30"/>
        <v>0</v>
      </c>
      <c r="BJ13" s="36">
        <f t="shared" ca="1" si="31"/>
        <v>1</v>
      </c>
      <c r="BL13" s="30">
        <f ca="1">IF(AW13&gt;0, AW13, IF(BG13=1,2,0))</f>
        <v>4</v>
      </c>
      <c r="BM13" s="31">
        <f ca="1">IF(AX13&gt;0, AX13, IF(BH13=1,2,0))</f>
        <v>0</v>
      </c>
      <c r="BN13" s="31">
        <f ca="1">IF(AY13&gt;0, AY13, IF(BI13=1,2,0))</f>
        <v>0</v>
      </c>
      <c r="BO13" s="32">
        <f ca="1">IF(AZ13&gt;0, AZ13, IF(BJ13=1,2,0))</f>
        <v>2</v>
      </c>
      <c r="BQ13" s="35">
        <f t="shared" ca="1" si="32"/>
        <v>1</v>
      </c>
      <c r="BR13" s="35">
        <f t="shared" ca="1" si="33"/>
        <v>0</v>
      </c>
      <c r="BS13" s="35">
        <f t="shared" ca="1" si="34"/>
        <v>1</v>
      </c>
      <c r="BT13" s="35">
        <f t="shared" ca="1" si="36"/>
        <v>0</v>
      </c>
      <c r="BU13" s="18"/>
      <c r="BV13" s="18"/>
      <c r="BW13" s="18"/>
      <c r="BX13" s="18"/>
      <c r="BY13" s="18"/>
      <c r="BZ13" s="18"/>
    </row>
    <row r="14" spans="1:78" ht="18" customHeight="1" x14ac:dyDescent="0.3">
      <c r="A14" s="6"/>
      <c r="B14" s="6"/>
      <c r="C14" s="6"/>
      <c r="D14" s="6"/>
      <c r="E14" s="6"/>
      <c r="F14" s="6"/>
      <c r="G14" s="6"/>
      <c r="H14" s="6"/>
      <c r="I14" s="22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49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51"/>
      <c r="AV14" s="2"/>
      <c r="BB14" s="36"/>
      <c r="BC14" s="36"/>
      <c r="BD14" s="36"/>
      <c r="BE14" s="37"/>
      <c r="BF14" s="36"/>
      <c r="BG14" s="36"/>
      <c r="BH14" s="36"/>
      <c r="BI14" s="36"/>
      <c r="BJ14" s="36"/>
      <c r="BQ14" s="18"/>
      <c r="BR14" s="18"/>
      <c r="BS14" s="18"/>
      <c r="BT14" s="18"/>
      <c r="BU14" s="18"/>
      <c r="BV14" s="18"/>
      <c r="BW14" s="18"/>
      <c r="BX14" s="18"/>
      <c r="BY14" s="18"/>
      <c r="BZ14" s="18"/>
    </row>
    <row r="15" spans="1:78" ht="18" customHeight="1" thickBot="1" x14ac:dyDescent="0.35">
      <c r="A15" s="6"/>
      <c r="B15" s="6"/>
      <c r="C15" s="22"/>
      <c r="D15" s="22"/>
      <c r="E15" s="22"/>
      <c r="F15" s="22"/>
      <c r="G15" s="22"/>
      <c r="H15" s="22"/>
      <c r="I15" s="22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49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51"/>
      <c r="AV15" s="2"/>
      <c r="BB15" s="36"/>
      <c r="BC15" s="36"/>
      <c r="BD15" s="36"/>
      <c r="BE15" s="37"/>
      <c r="BF15" s="36"/>
      <c r="BG15" s="36"/>
      <c r="BH15" s="36"/>
      <c r="BI15" s="36"/>
      <c r="BJ15" s="36"/>
      <c r="BQ15" s="18"/>
      <c r="BR15" s="18"/>
      <c r="BS15" s="18"/>
      <c r="BT15" s="18"/>
      <c r="BU15" s="18"/>
      <c r="BV15" s="18"/>
      <c r="BW15" s="18"/>
      <c r="BX15" s="18"/>
      <c r="BY15" s="18"/>
      <c r="BZ15" s="18"/>
    </row>
    <row r="16" spans="1:78" ht="18" customHeight="1" x14ac:dyDescent="0.3">
      <c r="A16" s="1" t="s">
        <v>7</v>
      </c>
      <c r="C16" s="35">
        <f>F10</f>
        <v>0</v>
      </c>
      <c r="D16" s="35">
        <f>F11</f>
        <v>0</v>
      </c>
      <c r="E16" s="35">
        <f>F12</f>
        <v>0</v>
      </c>
      <c r="F16" s="35">
        <f>F13</f>
        <v>0</v>
      </c>
      <c r="G16" s="18"/>
      <c r="H16" s="18"/>
      <c r="I16" s="22"/>
      <c r="J16" s="23">
        <f ca="1">IFERROR(OFFSET(C16, 0, MATCH(TRUE,INDEX(C16:F16&lt;&gt;0,),0)-1),0)</f>
        <v>0</v>
      </c>
      <c r="K16" s="23">
        <f ca="1">IFERROR(OFFSET(C16, 0, MATCH(TRUE,INDEX(C16:F16&lt;&gt;0,),0)),0)</f>
        <v>0</v>
      </c>
      <c r="L16" s="23">
        <f ca="1">IFERROR(OFFSET(C16, 0, MATCH(TRUE,INDEX(C16:F16&lt;&gt;0,),0)+1),0)</f>
        <v>0</v>
      </c>
      <c r="M16" s="23">
        <f ca="1">IFERROR(OFFSET(C16, 0, MATCH(TRUE,INDEX(C16:F16&lt;&gt;0,),0)+2),0)</f>
        <v>0</v>
      </c>
      <c r="N16" s="23"/>
      <c r="O16" s="23"/>
      <c r="P16" s="23"/>
      <c r="Q16" s="23">
        <f ca="1">J16</f>
        <v>0</v>
      </c>
      <c r="R16" s="23">
        <f ca="1">IFERROR(OFFSET(K16, 0, MATCH(TRUE,INDEX(K16:M16&lt;&gt;0,),0)-1),0)</f>
        <v>0</v>
      </c>
      <c r="S16" s="23">
        <f ca="1">IFERROR(OFFSET(K16, 0, MATCH(TRUE,INDEX(K16:M16&lt;&gt;0,),0)),0)</f>
        <v>0</v>
      </c>
      <c r="T16" s="23">
        <f ca="1">IFERROR(OFFSET(K16, 0, MATCH(TRUE,INDEX(K16:M16&lt;&gt;0,),0)+1),0)</f>
        <v>0</v>
      </c>
      <c r="U16" s="23"/>
      <c r="V16" s="23"/>
      <c r="W16" s="23"/>
      <c r="X16" s="23">
        <f ca="1">Q16</f>
        <v>0</v>
      </c>
      <c r="Y16" s="23">
        <f ca="1">R16</f>
        <v>0</v>
      </c>
      <c r="Z16" s="23">
        <f ca="1">IFERROR(OFFSET(S16, 0, MATCH(TRUE,INDEX(S16:T16&lt;&gt;0,),0)-1),0)</f>
        <v>0</v>
      </c>
      <c r="AA16" s="23">
        <f ca="1">IFERROR(OFFSET(S16, 0, MATCH(TRUE,INDEX(S16:T16&lt;&gt;0,),0)),0)</f>
        <v>0</v>
      </c>
      <c r="AB16" s="23"/>
      <c r="AC16" s="23"/>
      <c r="AD16" s="48"/>
      <c r="AE16" s="23">
        <f ca="1">IF(X16=Y16, SUM(X16, Y16), X16)</f>
        <v>0</v>
      </c>
      <c r="AF16" s="23">
        <f ca="1">IF(X16=Y16, Z16, Y16)</f>
        <v>0</v>
      </c>
      <c r="AG16" s="23">
        <f ca="1">IF(X16=Y16, AA16, Z16)</f>
        <v>0</v>
      </c>
      <c r="AH16" s="23">
        <f ca="1">IF(X16=Y16, AD16, AA16)</f>
        <v>0</v>
      </c>
      <c r="AI16" s="23"/>
      <c r="AJ16" s="23"/>
      <c r="AK16" s="23">
        <f ca="1">AE16</f>
        <v>0</v>
      </c>
      <c r="AL16" s="23">
        <f ca="1">IF(AF16=AG16, SUM(AF16, AG16), AF16)</f>
        <v>0</v>
      </c>
      <c r="AM16" s="23">
        <f ca="1">IF(AF16=AG16, AH16, AG16)</f>
        <v>0</v>
      </c>
      <c r="AN16" s="23">
        <f ca="1">IF(AF16=AG16, AI16, AH16)</f>
        <v>0</v>
      </c>
      <c r="AO16" s="23"/>
      <c r="AP16" s="23"/>
      <c r="AQ16" s="23">
        <f ca="1">AK16</f>
        <v>0</v>
      </c>
      <c r="AR16" s="23">
        <f ca="1">IF(AL16=AM16, SUM(AL16, AM16), AL16)</f>
        <v>0</v>
      </c>
      <c r="AS16" s="23">
        <f ca="1">IF(AM16=AN16, SUM(AM16, AN16), AM16)</f>
        <v>0</v>
      </c>
      <c r="AT16" s="23">
        <f ca="1">IF(AN16=AM16, AO16, AN16)</f>
        <v>0</v>
      </c>
      <c r="AU16" s="18"/>
      <c r="AW16" s="25">
        <f ca="1">AQ19</f>
        <v>2</v>
      </c>
      <c r="AX16" s="26">
        <f ca="1">AQ18</f>
        <v>0</v>
      </c>
      <c r="AY16" s="26">
        <f ca="1">AQ17</f>
        <v>2</v>
      </c>
      <c r="AZ16" s="27">
        <f ca="1">AQ16</f>
        <v>0</v>
      </c>
      <c r="BB16" s="36">
        <f ca="1">IF(AW16&gt;0, AW16, RAND())</f>
        <v>2</v>
      </c>
      <c r="BC16" s="36">
        <f t="shared" ref="BC16:BC19" ca="1" si="37">IF(AX16&gt;0, AX16, RAND())</f>
        <v>0.64683772438029075</v>
      </c>
      <c r="BD16" s="36">
        <f t="shared" ref="BD16:BD19" ca="1" si="38">IF(AY16&gt;0, AY16, RAND())</f>
        <v>2</v>
      </c>
      <c r="BE16" s="37">
        <f t="shared" ref="BE16:BE19" ca="1" si="39">IF(AZ16&gt;0, AZ16, RAND())</f>
        <v>0.74846626673139838</v>
      </c>
      <c r="BF16" s="36"/>
      <c r="BG16" s="36">
        <f ca="1">IF( MIN($BB$16:$BE$19) = BB16, 1, 0)</f>
        <v>0</v>
      </c>
      <c r="BH16" s="36">
        <f t="shared" ref="BH16:BJ16" ca="1" si="40">IF( MIN($BB$16:$BE$19) = BC16, 1, 0)</f>
        <v>0</v>
      </c>
      <c r="BI16" s="36">
        <f t="shared" ca="1" si="40"/>
        <v>0</v>
      </c>
      <c r="BJ16" s="36">
        <f t="shared" ca="1" si="40"/>
        <v>0</v>
      </c>
      <c r="BL16" s="25">
        <f ca="1">IF(AW16&gt;0, AW16, IF(BG16=1,2,0))</f>
        <v>2</v>
      </c>
      <c r="BM16" s="26">
        <f ca="1">IF(AX16&gt;0, AX16, IF(BH16=1,2,0))</f>
        <v>0</v>
      </c>
      <c r="BN16" s="26">
        <f ca="1">IF(AY16&gt;0, AY16, IF(BI16=1,2,0))</f>
        <v>2</v>
      </c>
      <c r="BO16" s="27">
        <f ca="1">IF(AZ16&gt;0, AZ16, IF(BJ16=1,2,0))</f>
        <v>0</v>
      </c>
      <c r="BQ16" s="35">
        <f ca="1">IF(C10=AW16, 0, 1)</f>
        <v>1</v>
      </c>
      <c r="BR16" s="35">
        <f t="shared" ref="BR16:BT16" ca="1" si="41">IF(D10=AX16, 0, 1)</f>
        <v>0</v>
      </c>
      <c r="BS16" s="35">
        <f t="shared" ca="1" si="41"/>
        <v>1</v>
      </c>
      <c r="BT16" s="35">
        <f t="shared" ca="1" si="41"/>
        <v>0</v>
      </c>
      <c r="BU16" s="18"/>
      <c r="BV16" s="18">
        <f ca="1">IF(MAX(BQ16:BT19)=0,0,1)</f>
        <v>1</v>
      </c>
      <c r="BW16" s="18"/>
      <c r="BX16" s="18"/>
      <c r="BY16" s="18"/>
      <c r="BZ16" s="18"/>
    </row>
    <row r="17" spans="1:78" ht="18" customHeight="1" x14ac:dyDescent="0.3">
      <c r="C17" s="35">
        <f>E10</f>
        <v>0</v>
      </c>
      <c r="D17" s="35">
        <f>E11</f>
        <v>0</v>
      </c>
      <c r="E17" s="35">
        <f>E12</f>
        <v>0</v>
      </c>
      <c r="F17" s="35">
        <f>E13</f>
        <v>2</v>
      </c>
      <c r="G17" s="18"/>
      <c r="H17" s="18"/>
      <c r="I17" s="22"/>
      <c r="J17" s="23">
        <f ca="1">IFERROR(OFFSET(C17, 0, MATCH(TRUE,INDEX(C17:F17&lt;&gt;0,),0)-1),0)</f>
        <v>2</v>
      </c>
      <c r="K17" s="23">
        <f ca="1">IFERROR(OFFSET(C17, 0, MATCH(TRUE,INDEX(C17:F17&lt;&gt;0,),0)),0)</f>
        <v>0</v>
      </c>
      <c r="L17" s="23">
        <f ca="1">IFERROR(OFFSET(C17, 0, MATCH(TRUE,INDEX(C17:F17&lt;&gt;0,),0)+1),0)</f>
        <v>0</v>
      </c>
      <c r="M17" s="23">
        <f ca="1">IFERROR(OFFSET(C17, 0, MATCH(TRUE,INDEX(C17:F17&lt;&gt;0,),0)+2),0)</f>
        <v>0</v>
      </c>
      <c r="N17" s="23"/>
      <c r="O17" s="23"/>
      <c r="P17" s="23"/>
      <c r="Q17" s="23">
        <f t="shared" ref="Q17:Q19" ca="1" si="42">J17</f>
        <v>2</v>
      </c>
      <c r="R17" s="23">
        <f t="shared" ref="R17:R19" ca="1" si="43">IFERROR(OFFSET(K17, 0, MATCH(TRUE,INDEX(K17:M17&lt;&gt;0,),0)-1),0)</f>
        <v>0</v>
      </c>
      <c r="S17" s="23">
        <f t="shared" ref="S17:S19" ca="1" si="44">IFERROR(OFFSET(K17, 0, MATCH(TRUE,INDEX(K17:M17&lt;&gt;0,),0)),0)</f>
        <v>0</v>
      </c>
      <c r="T17" s="23">
        <f t="shared" ref="T17:T19" ca="1" si="45">IFERROR(OFFSET(K17, 0, MATCH(TRUE,INDEX(K17:M17&lt;&gt;0,),0)+1),0)</f>
        <v>0</v>
      </c>
      <c r="U17" s="23"/>
      <c r="V17" s="23"/>
      <c r="W17" s="23"/>
      <c r="X17" s="23">
        <f t="shared" ref="X17:X19" ca="1" si="46">Q17</f>
        <v>2</v>
      </c>
      <c r="Y17" s="23">
        <f t="shared" ref="Y17:Y19" ca="1" si="47">R17</f>
        <v>0</v>
      </c>
      <c r="Z17" s="23">
        <f t="shared" ref="Z17:Z19" ca="1" si="48">IFERROR(OFFSET(S17, 0, MATCH(TRUE,INDEX(S17:T17&lt;&gt;0,),0)-1),0)</f>
        <v>0</v>
      </c>
      <c r="AA17" s="23">
        <f t="shared" ref="AA17:AA19" ca="1" si="49">IFERROR(OFFSET(S17, 0, MATCH(TRUE,INDEX(S17:T17&lt;&gt;0,),0)),0)</f>
        <v>0</v>
      </c>
      <c r="AB17" s="23"/>
      <c r="AC17" s="23"/>
      <c r="AD17" s="48"/>
      <c r="AE17" s="23">
        <f t="shared" ref="AE17:AE19" ca="1" si="50">IF(X17=Y17, SUM(X17, Y17), X17)</f>
        <v>2</v>
      </c>
      <c r="AF17" s="23">
        <f t="shared" ref="AF17:AF19" ca="1" si="51">IF(X17=Y17, Z17, Y17)</f>
        <v>0</v>
      </c>
      <c r="AG17" s="23">
        <f t="shared" ref="AG17:AG19" ca="1" si="52">IF(X17=Y17, AA17, Z17)</f>
        <v>0</v>
      </c>
      <c r="AH17" s="23">
        <f t="shared" ref="AH17:AH19" ca="1" si="53">IF(X17=Y17, AD17, AA17)</f>
        <v>0</v>
      </c>
      <c r="AI17" s="23"/>
      <c r="AJ17" s="23"/>
      <c r="AK17" s="23">
        <f t="shared" ref="AK17:AK19" ca="1" si="54">AE17</f>
        <v>2</v>
      </c>
      <c r="AL17" s="23">
        <f t="shared" ref="AL17:AL19" ca="1" si="55">IF(AF17=AG17, SUM(AF17, AG17), AF17)</f>
        <v>0</v>
      </c>
      <c r="AM17" s="23">
        <f t="shared" ref="AM17:AM19" ca="1" si="56">IF(AF17=AG17, AH17, AG17)</f>
        <v>0</v>
      </c>
      <c r="AN17" s="23">
        <f t="shared" ref="AN17:AN19" ca="1" si="57">IF(AF17=AG17, AI17, AH17)</f>
        <v>0</v>
      </c>
      <c r="AO17" s="23"/>
      <c r="AP17" s="23"/>
      <c r="AQ17" s="23">
        <f t="shared" ref="AQ17:AQ19" ca="1" si="58">AK17</f>
        <v>2</v>
      </c>
      <c r="AR17" s="23">
        <f t="shared" ref="AR17:AR19" ca="1" si="59">IF(AL17=AM17, SUM(AL17, AM17), AL17)</f>
        <v>0</v>
      </c>
      <c r="AS17" s="23">
        <f ca="1">IF(AM17=AN17, SUM(AM17, AN17), AM17)</f>
        <v>0</v>
      </c>
      <c r="AT17" s="23">
        <f ca="1">IF(AN17=AM17, AO17, AN17)</f>
        <v>0</v>
      </c>
      <c r="AU17" s="18"/>
      <c r="AW17" s="28">
        <f ca="1">AR19</f>
        <v>0</v>
      </c>
      <c r="AX17" s="9">
        <f ca="1">AR18</f>
        <v>0</v>
      </c>
      <c r="AY17" s="9">
        <f ca="1">AR17</f>
        <v>0</v>
      </c>
      <c r="AZ17" s="29">
        <f ca="1">AR16</f>
        <v>0</v>
      </c>
      <c r="BB17" s="36">
        <f t="shared" ref="BB17:BB19" ca="1" si="60">IF(AW17&gt;0, AW17, RAND())</f>
        <v>0.7330170892352037</v>
      </c>
      <c r="BC17" s="36">
        <f t="shared" ca="1" si="37"/>
        <v>0.17062208275936452</v>
      </c>
      <c r="BD17" s="36">
        <f t="shared" ca="1" si="38"/>
        <v>0.23639205361927396</v>
      </c>
      <c r="BE17" s="37">
        <f t="shared" ca="1" si="39"/>
        <v>0.67740954625939753</v>
      </c>
      <c r="BF17" s="36"/>
      <c r="BG17" s="36">
        <f t="shared" ref="BG17:BG19" ca="1" si="61">IF( MIN($BB$16:$BE$19) = BB17, 1, 0)</f>
        <v>0</v>
      </c>
      <c r="BH17" s="36">
        <f t="shared" ref="BH17:BH19" ca="1" si="62">IF( MIN($BB$16:$BE$19) = BC17, 1, 0)</f>
        <v>0</v>
      </c>
      <c r="BI17" s="36">
        <f t="shared" ref="BI17:BI19" ca="1" si="63">IF( MIN($BB$16:$BE$19) = BD17, 1, 0)</f>
        <v>0</v>
      </c>
      <c r="BJ17" s="36">
        <f t="shared" ref="BJ17:BJ19" ca="1" si="64">IF( MIN($BB$16:$BE$19) = BE17, 1, 0)</f>
        <v>0</v>
      </c>
      <c r="BL17" s="28">
        <f ca="1">IF(AW17&gt;0, AW17, IF(BG17=1,2,0))</f>
        <v>0</v>
      </c>
      <c r="BM17" s="9">
        <f ca="1">IF(AX17&gt;0, AX17, IF(BH17=1,2,0))</f>
        <v>0</v>
      </c>
      <c r="BN17" s="9">
        <f ca="1">IF(AY17&gt;0, AY17, IF(BI17=1,2,0))</f>
        <v>0</v>
      </c>
      <c r="BO17" s="29">
        <f ca="1">IF(AZ17&gt;0, AZ17, IF(BJ17=1,2,0))</f>
        <v>0</v>
      </c>
      <c r="BQ17" s="35">
        <f t="shared" ref="BQ17:BQ19" ca="1" si="65">IF(C11=AW17, 0, 1)</f>
        <v>0</v>
      </c>
      <c r="BR17" s="35">
        <f t="shared" ref="BR17:BR19" ca="1" si="66">IF(D11=AX17, 0, 1)</f>
        <v>0</v>
      </c>
      <c r="BS17" s="35">
        <f t="shared" ref="BS17:BS19" ca="1" si="67">IF(E11=AY17, 0, 1)</f>
        <v>0</v>
      </c>
      <c r="BT17" s="35">
        <f t="shared" ref="BT17:BT19" ca="1" si="68">IF(F11=AZ17, 0, 1)</f>
        <v>0</v>
      </c>
      <c r="BU17" s="18"/>
      <c r="BV17" s="18"/>
      <c r="BW17" s="18"/>
      <c r="BX17" s="18"/>
      <c r="BY17" s="18"/>
      <c r="BZ17" s="18"/>
    </row>
    <row r="18" spans="1:78" ht="18" customHeight="1" x14ac:dyDescent="0.3">
      <c r="C18" s="35">
        <f>D10</f>
        <v>0</v>
      </c>
      <c r="D18" s="35">
        <f>D11</f>
        <v>0</v>
      </c>
      <c r="E18" s="35">
        <f>D12</f>
        <v>0</v>
      </c>
      <c r="F18" s="35">
        <f>D13</f>
        <v>0</v>
      </c>
      <c r="G18" s="18"/>
      <c r="H18" s="18"/>
      <c r="I18" s="22"/>
      <c r="J18" s="23">
        <f ca="1">IFERROR(OFFSET(C18, 0, MATCH(TRUE,INDEX(C18:F18&lt;&gt;0,),0)-1),0)</f>
        <v>0</v>
      </c>
      <c r="K18" s="23">
        <f ca="1">IFERROR(OFFSET(C18, 0, MATCH(TRUE,INDEX(C18:F18&lt;&gt;0,),0)),0)</f>
        <v>0</v>
      </c>
      <c r="L18" s="23">
        <f ca="1">IFERROR(OFFSET(C18, 0, MATCH(TRUE,INDEX(C18:F18&lt;&gt;0,),0)+1),0)</f>
        <v>0</v>
      </c>
      <c r="M18" s="23">
        <f ca="1">IFERROR(OFFSET(C18, 0, MATCH(TRUE,INDEX(C18:F18&lt;&gt;0,),0)+2),0)</f>
        <v>0</v>
      </c>
      <c r="N18" s="23"/>
      <c r="O18" s="23"/>
      <c r="P18" s="23"/>
      <c r="Q18" s="23">
        <f t="shared" ca="1" si="42"/>
        <v>0</v>
      </c>
      <c r="R18" s="23">
        <f t="shared" ca="1" si="43"/>
        <v>0</v>
      </c>
      <c r="S18" s="23">
        <f t="shared" ca="1" si="44"/>
        <v>0</v>
      </c>
      <c r="T18" s="23">
        <f t="shared" ca="1" si="45"/>
        <v>0</v>
      </c>
      <c r="U18" s="23"/>
      <c r="V18" s="23"/>
      <c r="W18" s="23"/>
      <c r="X18" s="23">
        <f t="shared" ca="1" si="46"/>
        <v>0</v>
      </c>
      <c r="Y18" s="23">
        <f t="shared" ca="1" si="47"/>
        <v>0</v>
      </c>
      <c r="Z18" s="23">
        <f t="shared" ca="1" si="48"/>
        <v>0</v>
      </c>
      <c r="AA18" s="23">
        <f t="shared" ca="1" si="49"/>
        <v>0</v>
      </c>
      <c r="AB18" s="23"/>
      <c r="AC18" s="23"/>
      <c r="AD18" s="48"/>
      <c r="AE18" s="23">
        <f t="shared" ca="1" si="50"/>
        <v>0</v>
      </c>
      <c r="AF18" s="23">
        <f t="shared" ca="1" si="51"/>
        <v>0</v>
      </c>
      <c r="AG18" s="23">
        <f t="shared" ca="1" si="52"/>
        <v>0</v>
      </c>
      <c r="AH18" s="23">
        <f t="shared" ca="1" si="53"/>
        <v>0</v>
      </c>
      <c r="AI18" s="23"/>
      <c r="AJ18" s="23"/>
      <c r="AK18" s="23">
        <f t="shared" ca="1" si="54"/>
        <v>0</v>
      </c>
      <c r="AL18" s="23">
        <f t="shared" ca="1" si="55"/>
        <v>0</v>
      </c>
      <c r="AM18" s="23">
        <f t="shared" ca="1" si="56"/>
        <v>0</v>
      </c>
      <c r="AN18" s="23">
        <f t="shared" ca="1" si="57"/>
        <v>0</v>
      </c>
      <c r="AO18" s="23"/>
      <c r="AP18" s="23"/>
      <c r="AQ18" s="23">
        <f t="shared" ca="1" si="58"/>
        <v>0</v>
      </c>
      <c r="AR18" s="23">
        <f t="shared" ca="1" si="59"/>
        <v>0</v>
      </c>
      <c r="AS18" s="23">
        <f ca="1">IF(AM18=AN18, SUM(AM18, AN18), AM18)</f>
        <v>0</v>
      </c>
      <c r="AT18" s="23">
        <f ca="1">IF(AN18=AM18, AO18, AN18)</f>
        <v>0</v>
      </c>
      <c r="AU18" s="18"/>
      <c r="AW18" s="28">
        <f ca="1">AS19</f>
        <v>0</v>
      </c>
      <c r="AX18" s="9">
        <f ca="1">AS18</f>
        <v>0</v>
      </c>
      <c r="AY18" s="9">
        <f ca="1">AS17</f>
        <v>0</v>
      </c>
      <c r="AZ18" s="29">
        <f ca="1">AS16</f>
        <v>0</v>
      </c>
      <c r="BB18" s="36">
        <f t="shared" ca="1" si="60"/>
        <v>2.6851207332558524E-2</v>
      </c>
      <c r="BC18" s="36">
        <f t="shared" ca="1" si="37"/>
        <v>0.75145764893926748</v>
      </c>
      <c r="BD18" s="36">
        <f t="shared" ca="1" si="38"/>
        <v>0.24585166426331495</v>
      </c>
      <c r="BE18" s="37">
        <f t="shared" ca="1" si="39"/>
        <v>0.35276449852782743</v>
      </c>
      <c r="BF18" s="36"/>
      <c r="BG18" s="36">
        <f t="shared" ca="1" si="61"/>
        <v>1</v>
      </c>
      <c r="BH18" s="36">
        <f t="shared" ca="1" si="62"/>
        <v>0</v>
      </c>
      <c r="BI18" s="36">
        <f t="shared" ca="1" si="63"/>
        <v>0</v>
      </c>
      <c r="BJ18" s="36">
        <f t="shared" ca="1" si="64"/>
        <v>0</v>
      </c>
      <c r="BL18" s="28">
        <f ca="1">IF(AW18&gt;0, AW18, IF(BG18=1,2,0))</f>
        <v>2</v>
      </c>
      <c r="BM18" s="9">
        <f ca="1">IF(AX18&gt;0, AX18, IF(BH18=1,2,0))</f>
        <v>0</v>
      </c>
      <c r="BN18" s="9">
        <f ca="1">IF(AY18&gt;0, AY18, IF(BI18=1,2,0))</f>
        <v>0</v>
      </c>
      <c r="BO18" s="29">
        <f ca="1">IF(AZ18&gt;0, AZ18, IF(BJ18=1,2,0))</f>
        <v>0</v>
      </c>
      <c r="BQ18" s="35">
        <f t="shared" ca="1" si="65"/>
        <v>0</v>
      </c>
      <c r="BR18" s="35">
        <f t="shared" ca="1" si="66"/>
        <v>0</v>
      </c>
      <c r="BS18" s="35">
        <f t="shared" ca="1" si="67"/>
        <v>0</v>
      </c>
      <c r="BT18" s="35">
        <f t="shared" ca="1" si="68"/>
        <v>0</v>
      </c>
      <c r="BU18" s="18"/>
      <c r="BV18" s="18"/>
      <c r="BW18" s="18"/>
      <c r="BX18" s="18"/>
      <c r="BY18" s="18"/>
      <c r="BZ18" s="18"/>
    </row>
    <row r="19" spans="1:78" ht="18" customHeight="1" thickBot="1" x14ac:dyDescent="0.35">
      <c r="C19" s="35">
        <f>C10</f>
        <v>0</v>
      </c>
      <c r="D19" s="35">
        <f>C11</f>
        <v>0</v>
      </c>
      <c r="E19" s="35">
        <f>C12</f>
        <v>0</v>
      </c>
      <c r="F19" s="35">
        <f>C13</f>
        <v>2</v>
      </c>
      <c r="G19" s="18"/>
      <c r="H19" s="18"/>
      <c r="I19" s="22"/>
      <c r="J19" s="23">
        <f ca="1">IFERROR(OFFSET(C19, 0, MATCH(TRUE,INDEX(C19:F19&lt;&gt;0,),0)-1),0)</f>
        <v>2</v>
      </c>
      <c r="K19" s="23">
        <f ca="1">IFERROR(OFFSET(C19, 0, MATCH(TRUE,INDEX(C19:F19&lt;&gt;0,),0)),0)</f>
        <v>0</v>
      </c>
      <c r="L19" s="23">
        <f ca="1">IFERROR(OFFSET(C19, 0, MATCH(TRUE,INDEX(C19:F19&lt;&gt;0,),0)+1),0)</f>
        <v>0</v>
      </c>
      <c r="M19" s="23">
        <f ca="1">IFERROR(OFFSET(C19, 0, MATCH(TRUE,INDEX(C19:F19&lt;&gt;0,),0)+2),0)</f>
        <v>0</v>
      </c>
      <c r="N19" s="23"/>
      <c r="O19" s="23"/>
      <c r="P19" s="23"/>
      <c r="Q19" s="23">
        <f t="shared" ca="1" si="42"/>
        <v>2</v>
      </c>
      <c r="R19" s="23">
        <f t="shared" ca="1" si="43"/>
        <v>0</v>
      </c>
      <c r="S19" s="23">
        <f t="shared" ca="1" si="44"/>
        <v>0</v>
      </c>
      <c r="T19" s="23">
        <f t="shared" ca="1" si="45"/>
        <v>0</v>
      </c>
      <c r="U19" s="23"/>
      <c r="V19" s="23"/>
      <c r="W19" s="23"/>
      <c r="X19" s="23">
        <f t="shared" ca="1" si="46"/>
        <v>2</v>
      </c>
      <c r="Y19" s="23">
        <f t="shared" ca="1" si="47"/>
        <v>0</v>
      </c>
      <c r="Z19" s="23">
        <f t="shared" ca="1" si="48"/>
        <v>0</v>
      </c>
      <c r="AA19" s="23">
        <f t="shared" ca="1" si="49"/>
        <v>0</v>
      </c>
      <c r="AB19" s="23"/>
      <c r="AC19" s="23"/>
      <c r="AD19" s="48"/>
      <c r="AE19" s="23">
        <f t="shared" ca="1" si="50"/>
        <v>2</v>
      </c>
      <c r="AF19" s="23">
        <f t="shared" ca="1" si="51"/>
        <v>0</v>
      </c>
      <c r="AG19" s="23">
        <f t="shared" ca="1" si="52"/>
        <v>0</v>
      </c>
      <c r="AH19" s="23">
        <f t="shared" ca="1" si="53"/>
        <v>0</v>
      </c>
      <c r="AI19" s="23"/>
      <c r="AJ19" s="23"/>
      <c r="AK19" s="23">
        <f t="shared" ca="1" si="54"/>
        <v>2</v>
      </c>
      <c r="AL19" s="23">
        <f t="shared" ca="1" si="55"/>
        <v>0</v>
      </c>
      <c r="AM19" s="23">
        <f t="shared" ca="1" si="56"/>
        <v>0</v>
      </c>
      <c r="AN19" s="23">
        <f t="shared" ca="1" si="57"/>
        <v>0</v>
      </c>
      <c r="AO19" s="23"/>
      <c r="AP19" s="23"/>
      <c r="AQ19" s="23">
        <f t="shared" ca="1" si="58"/>
        <v>2</v>
      </c>
      <c r="AR19" s="23">
        <f t="shared" ca="1" si="59"/>
        <v>0</v>
      </c>
      <c r="AS19" s="23">
        <f ca="1">IF(AM19=AN19, SUM(AM19, AN19), AM19)</f>
        <v>0</v>
      </c>
      <c r="AT19" s="23">
        <f ca="1">IF(AN19=AM19, AO19, AN19)</f>
        <v>0</v>
      </c>
      <c r="AU19" s="18"/>
      <c r="AW19" s="30">
        <f ca="1">AT19</f>
        <v>0</v>
      </c>
      <c r="AX19" s="31">
        <f ca="1">AT18</f>
        <v>0</v>
      </c>
      <c r="AY19" s="31">
        <f ca="1">AT17</f>
        <v>0</v>
      </c>
      <c r="AZ19" s="32">
        <f ca="1">AT16</f>
        <v>0</v>
      </c>
      <c r="BB19" s="36">
        <f t="shared" ca="1" si="60"/>
        <v>0.66578777089003083</v>
      </c>
      <c r="BC19" s="36">
        <f t="shared" ca="1" si="37"/>
        <v>0.36148450774131846</v>
      </c>
      <c r="BD19" s="36">
        <f t="shared" ca="1" si="38"/>
        <v>0.40529919603784192</v>
      </c>
      <c r="BE19" s="37">
        <f t="shared" ca="1" si="39"/>
        <v>0.37645382935822036</v>
      </c>
      <c r="BF19" s="36"/>
      <c r="BG19" s="36">
        <f t="shared" ca="1" si="61"/>
        <v>0</v>
      </c>
      <c r="BH19" s="36">
        <f t="shared" ca="1" si="62"/>
        <v>0</v>
      </c>
      <c r="BI19" s="36">
        <f t="shared" ca="1" si="63"/>
        <v>0</v>
      </c>
      <c r="BJ19" s="36">
        <f t="shared" ca="1" si="64"/>
        <v>0</v>
      </c>
      <c r="BL19" s="30">
        <f ca="1">IF(AW19&gt;0, AW19, IF(BG19=1,2,0))</f>
        <v>0</v>
      </c>
      <c r="BM19" s="31">
        <f ca="1">IF(AX19&gt;0, AX19, IF(BH19=1,2,0))</f>
        <v>0</v>
      </c>
      <c r="BN19" s="31">
        <f ca="1">IF(AY19&gt;0, AY19, IF(BI19=1,2,0))</f>
        <v>0</v>
      </c>
      <c r="BO19" s="32">
        <f ca="1">IF(AZ19&gt;0, AZ19, IF(BJ19=1,2,0))</f>
        <v>0</v>
      </c>
      <c r="BQ19" s="35">
        <f t="shared" ca="1" si="65"/>
        <v>1</v>
      </c>
      <c r="BR19" s="35">
        <f t="shared" ca="1" si="66"/>
        <v>0</v>
      </c>
      <c r="BS19" s="35">
        <f t="shared" ca="1" si="67"/>
        <v>1</v>
      </c>
      <c r="BT19" s="35">
        <f t="shared" ca="1" si="68"/>
        <v>0</v>
      </c>
      <c r="BU19" s="18"/>
      <c r="BV19" s="18"/>
      <c r="BW19" s="18"/>
      <c r="BX19" s="18"/>
      <c r="BY19" s="18"/>
      <c r="BZ19" s="18"/>
    </row>
    <row r="20" spans="1:78" ht="18" customHeight="1" x14ac:dyDescent="0.3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50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BB20" s="36"/>
      <c r="BC20" s="36"/>
      <c r="BD20" s="36"/>
      <c r="BE20" s="37"/>
      <c r="BF20" s="36"/>
      <c r="BG20" s="36"/>
      <c r="BH20" s="36"/>
      <c r="BI20" s="36"/>
      <c r="BJ20" s="36"/>
      <c r="BQ20" s="18"/>
      <c r="BR20" s="18"/>
      <c r="BS20" s="18"/>
      <c r="BT20" s="18"/>
      <c r="BU20" s="18"/>
      <c r="BV20" s="18"/>
      <c r="BW20" s="18"/>
      <c r="BX20" s="18"/>
      <c r="BY20" s="18"/>
      <c r="BZ20" s="18"/>
    </row>
    <row r="21" spans="1:78" ht="18" customHeight="1" thickBot="1" x14ac:dyDescent="0.35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50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BB21" s="36"/>
      <c r="BC21" s="36"/>
      <c r="BD21" s="36"/>
      <c r="BE21" s="37"/>
      <c r="BF21" s="36"/>
      <c r="BG21" s="36"/>
      <c r="BH21" s="36"/>
      <c r="BI21" s="36"/>
      <c r="BJ21" s="36"/>
      <c r="BQ21" s="18"/>
      <c r="BR21" s="18"/>
      <c r="BS21" s="18"/>
      <c r="BT21" s="18"/>
      <c r="BU21" s="18"/>
      <c r="BV21" s="18"/>
      <c r="BW21" s="18"/>
      <c r="BX21" s="18"/>
      <c r="BY21" s="18"/>
      <c r="BZ21" s="18"/>
    </row>
    <row r="22" spans="1:78" ht="18" customHeight="1" x14ac:dyDescent="0.3">
      <c r="A22" s="1" t="s">
        <v>8</v>
      </c>
      <c r="C22" s="35">
        <f>C13</f>
        <v>2</v>
      </c>
      <c r="D22" s="35">
        <f>C12</f>
        <v>0</v>
      </c>
      <c r="E22" s="35">
        <f>C11</f>
        <v>0</v>
      </c>
      <c r="F22" s="35">
        <f>C10</f>
        <v>0</v>
      </c>
      <c r="G22" s="18"/>
      <c r="H22" s="18"/>
      <c r="I22" s="22"/>
      <c r="J22" s="23">
        <f ca="1">IFERROR(OFFSET(C22, 0, MATCH(TRUE,INDEX(C22:F22&lt;&gt;0,),0)-1),0)</f>
        <v>2</v>
      </c>
      <c r="K22" s="23">
        <f ca="1">IFERROR(OFFSET(C22, 0, MATCH(TRUE,INDEX(C22:F22&lt;&gt;0,),0)),0)</f>
        <v>0</v>
      </c>
      <c r="L22" s="23">
        <f ca="1">IFERROR(OFFSET(C22, 0, MATCH(TRUE,INDEX(C22:F22&lt;&gt;0,),0)+1),0)</f>
        <v>0</v>
      </c>
      <c r="M22" s="23">
        <f ca="1">IFERROR(OFFSET(C22, 0, MATCH(TRUE,INDEX(C22:F22&lt;&gt;0,),0)+2),0)</f>
        <v>0</v>
      </c>
      <c r="N22" s="23"/>
      <c r="O22" s="23"/>
      <c r="P22" s="23"/>
      <c r="Q22" s="23">
        <f ca="1">J22</f>
        <v>2</v>
      </c>
      <c r="R22" s="23">
        <f ca="1">IFERROR(OFFSET(K22, 0, MATCH(TRUE,INDEX(K22:M22&lt;&gt;0,),0)-1),0)</f>
        <v>0</v>
      </c>
      <c r="S22" s="23">
        <f ca="1">IFERROR(OFFSET(K22, 0, MATCH(TRUE,INDEX(K22:M22&lt;&gt;0,),0)),0)</f>
        <v>0</v>
      </c>
      <c r="T22" s="23">
        <f ca="1">IFERROR(OFFSET(K22, 0, MATCH(TRUE,INDEX(K22:M22&lt;&gt;0,),0)+1),0)</f>
        <v>0</v>
      </c>
      <c r="U22" s="23"/>
      <c r="V22" s="23"/>
      <c r="W22" s="23"/>
      <c r="X22" s="23">
        <f ca="1">Q22</f>
        <v>2</v>
      </c>
      <c r="Y22" s="23">
        <f ca="1">R22</f>
        <v>0</v>
      </c>
      <c r="Z22" s="23">
        <f ca="1">IFERROR(OFFSET(S22, 0, MATCH(TRUE,INDEX(S22:T22&lt;&gt;0,),0)-1),0)</f>
        <v>0</v>
      </c>
      <c r="AA22" s="23">
        <f ca="1">IFERROR(OFFSET(S22, 0, MATCH(TRUE,INDEX(S22:T22&lt;&gt;0,),0)),0)</f>
        <v>0</v>
      </c>
      <c r="AB22" s="23"/>
      <c r="AC22" s="23"/>
      <c r="AD22" s="48"/>
      <c r="AE22" s="23">
        <f ca="1">IF(X22=Y22, SUM(X22, Y22), X22)</f>
        <v>2</v>
      </c>
      <c r="AF22" s="23">
        <f ca="1">IF(X22=Y22, Z22, Y22)</f>
        <v>0</v>
      </c>
      <c r="AG22" s="23">
        <f ca="1">IF(X22=Y22, AA22, Z22)</f>
        <v>0</v>
      </c>
      <c r="AH22" s="23">
        <f ca="1">IF(X22=Y22, AD22, AA22)</f>
        <v>0</v>
      </c>
      <c r="AI22" s="23"/>
      <c r="AJ22" s="23"/>
      <c r="AK22" s="23">
        <f ca="1">AE22</f>
        <v>2</v>
      </c>
      <c r="AL22" s="23">
        <f ca="1">IF(AF22=AG22, SUM(AF22, AG22), AF22)</f>
        <v>0</v>
      </c>
      <c r="AM22" s="23">
        <f ca="1">IF(AF22=AG22, AH22, AG22)</f>
        <v>0</v>
      </c>
      <c r="AN22" s="23">
        <f ca="1">IF(AF22=AG22, AI22, AH22)</f>
        <v>0</v>
      </c>
      <c r="AO22" s="23"/>
      <c r="AP22" s="23"/>
      <c r="AQ22" s="23">
        <f ca="1">AK22</f>
        <v>2</v>
      </c>
      <c r="AR22" s="23">
        <f ca="1">IF(AL22=AM22, SUM(AL22, AM22), AL22)</f>
        <v>0</v>
      </c>
      <c r="AS22" s="23">
        <f ca="1">IF(AM22=AN22, SUM(AM22, AN22), AM22)</f>
        <v>0</v>
      </c>
      <c r="AT22" s="23">
        <f ca="1">IF(AN22=AM22, AO22, AN22)</f>
        <v>0</v>
      </c>
      <c r="AU22" s="18"/>
      <c r="AW22" s="25">
        <f ca="1">AT22</f>
        <v>0</v>
      </c>
      <c r="AX22" s="26">
        <f ca="1">AT23</f>
        <v>0</v>
      </c>
      <c r="AY22" s="26">
        <f ca="1">AT24</f>
        <v>0</v>
      </c>
      <c r="AZ22" s="27">
        <f ca="1">AT25</f>
        <v>0</v>
      </c>
      <c r="BB22" s="36">
        <f ca="1">IF(AW22&gt;0, AW22, RAND())</f>
        <v>0.88278006302282974</v>
      </c>
      <c r="BC22" s="36">
        <f t="shared" ref="BC22:BC25" ca="1" si="69">IF(AX22&gt;0, AX22, RAND())</f>
        <v>0.92135185997535118</v>
      </c>
      <c r="BD22" s="36">
        <f t="shared" ref="BD22:BD25" ca="1" si="70">IF(AY22&gt;0, AY22, RAND())</f>
        <v>0.46922415706677478</v>
      </c>
      <c r="BE22" s="37">
        <f t="shared" ref="BE22:BE25" ca="1" si="71">IF(AZ22&gt;0, AZ22, RAND())</f>
        <v>0.52068042737253462</v>
      </c>
      <c r="BF22" s="36"/>
      <c r="BG22" s="36">
        <f ca="1">IF( MIN($BB$22:$BE$25) = BB22, 1, 0)</f>
        <v>0</v>
      </c>
      <c r="BH22" s="36">
        <f t="shared" ref="BH22:BJ22" ca="1" si="72">IF( MIN($BB$22:$BE$25) = BC22, 1, 0)</f>
        <v>0</v>
      </c>
      <c r="BI22" s="36">
        <f t="shared" ca="1" si="72"/>
        <v>0</v>
      </c>
      <c r="BJ22" s="36">
        <f t="shared" ca="1" si="72"/>
        <v>0</v>
      </c>
      <c r="BL22" s="25">
        <f ca="1">IF(AW22&gt;0, AW22, IF(BG22=1,2,0))</f>
        <v>0</v>
      </c>
      <c r="BM22" s="26">
        <f ca="1">IF(AX22&gt;0, AX22, IF(BH22=1,2,0))</f>
        <v>0</v>
      </c>
      <c r="BN22" s="26">
        <f ca="1">IF(AY22&gt;0, AY22, IF(BI22=1,2,0))</f>
        <v>0</v>
      </c>
      <c r="BO22" s="27">
        <f ca="1">IF(AZ22&gt;0, AZ22, IF(BJ22=1,2,0))</f>
        <v>0</v>
      </c>
      <c r="BQ22" s="35">
        <f ca="1">IF(C10=AW22, 0, 1)</f>
        <v>0</v>
      </c>
      <c r="BR22" s="35">
        <f t="shared" ref="BR22:BT22" ca="1" si="73">IF(D10=AX22, 0, 1)</f>
        <v>0</v>
      </c>
      <c r="BS22" s="35">
        <f t="shared" ca="1" si="73"/>
        <v>0</v>
      </c>
      <c r="BT22" s="35">
        <f t="shared" ca="1" si="73"/>
        <v>0</v>
      </c>
      <c r="BU22" s="18"/>
      <c r="BV22" s="18">
        <f ca="1">IF(MAX(BQ22:BT25)=0,0,1)</f>
        <v>0</v>
      </c>
      <c r="BW22" s="18"/>
      <c r="BX22" s="18"/>
      <c r="BY22" s="18"/>
      <c r="BZ22" s="18"/>
    </row>
    <row r="23" spans="1:78" ht="18" customHeight="1" x14ac:dyDescent="0.3">
      <c r="C23" s="35">
        <f>D13</f>
        <v>0</v>
      </c>
      <c r="D23" s="35">
        <f>D12</f>
        <v>0</v>
      </c>
      <c r="E23" s="35">
        <f>D11</f>
        <v>0</v>
      </c>
      <c r="F23" s="35">
        <f>D10</f>
        <v>0</v>
      </c>
      <c r="G23" s="18"/>
      <c r="H23" s="18"/>
      <c r="I23" s="22"/>
      <c r="J23" s="23">
        <f ca="1">IFERROR(OFFSET(C23, 0, MATCH(TRUE,INDEX(C23:F23&lt;&gt;0,),0)-1),0)</f>
        <v>0</v>
      </c>
      <c r="K23" s="23">
        <f ca="1">IFERROR(OFFSET(C23, 0, MATCH(TRUE,INDEX(C23:F23&lt;&gt;0,),0)),0)</f>
        <v>0</v>
      </c>
      <c r="L23" s="23">
        <f ca="1">IFERROR(OFFSET(C23, 0, MATCH(TRUE,INDEX(C23:F23&lt;&gt;0,),0)+1),0)</f>
        <v>0</v>
      </c>
      <c r="M23" s="23">
        <f ca="1">IFERROR(OFFSET(C23, 0, MATCH(TRUE,INDEX(C23:F23&lt;&gt;0,),0)+2),0)</f>
        <v>0</v>
      </c>
      <c r="N23" s="23"/>
      <c r="O23" s="23"/>
      <c r="P23" s="23"/>
      <c r="Q23" s="23">
        <f t="shared" ref="Q23:Q25" ca="1" si="74">J23</f>
        <v>0</v>
      </c>
      <c r="R23" s="23">
        <f t="shared" ref="R23:R25" ca="1" si="75">IFERROR(OFFSET(K23, 0, MATCH(TRUE,INDEX(K23:M23&lt;&gt;0,),0)-1),0)</f>
        <v>0</v>
      </c>
      <c r="S23" s="23">
        <f t="shared" ref="S23:S25" ca="1" si="76">IFERROR(OFFSET(K23, 0, MATCH(TRUE,INDEX(K23:M23&lt;&gt;0,),0)),0)</f>
        <v>0</v>
      </c>
      <c r="T23" s="23">
        <f t="shared" ref="T23:T25" ca="1" si="77">IFERROR(OFFSET(K23, 0, MATCH(TRUE,INDEX(K23:M23&lt;&gt;0,),0)+1),0)</f>
        <v>0</v>
      </c>
      <c r="U23" s="23"/>
      <c r="V23" s="23"/>
      <c r="W23" s="23"/>
      <c r="X23" s="23">
        <f t="shared" ref="X23:X25" ca="1" si="78">Q23</f>
        <v>0</v>
      </c>
      <c r="Y23" s="23">
        <f t="shared" ref="Y23:Y25" ca="1" si="79">R23</f>
        <v>0</v>
      </c>
      <c r="Z23" s="23">
        <f t="shared" ref="Z23:Z25" ca="1" si="80">IFERROR(OFFSET(S23, 0, MATCH(TRUE,INDEX(S23:T23&lt;&gt;0,),0)-1),0)</f>
        <v>0</v>
      </c>
      <c r="AA23" s="23">
        <f t="shared" ref="AA23:AA25" ca="1" si="81">IFERROR(OFFSET(S23, 0, MATCH(TRUE,INDEX(S23:T23&lt;&gt;0,),0)),0)</f>
        <v>0</v>
      </c>
      <c r="AB23" s="23"/>
      <c r="AC23" s="23"/>
      <c r="AD23" s="48"/>
      <c r="AE23" s="23">
        <f t="shared" ref="AE23:AE25" ca="1" si="82">IF(X23=Y23, SUM(X23, Y23), X23)</f>
        <v>0</v>
      </c>
      <c r="AF23" s="23">
        <f t="shared" ref="AF23:AF25" ca="1" si="83">IF(X23=Y23, Z23, Y23)</f>
        <v>0</v>
      </c>
      <c r="AG23" s="23">
        <f t="shared" ref="AG23:AG25" ca="1" si="84">IF(X23=Y23, AA23, Z23)</f>
        <v>0</v>
      </c>
      <c r="AH23" s="23">
        <f t="shared" ref="AH23:AH25" ca="1" si="85">IF(X23=Y23, AD23, AA23)</f>
        <v>0</v>
      </c>
      <c r="AI23" s="23"/>
      <c r="AJ23" s="23"/>
      <c r="AK23" s="23">
        <f t="shared" ref="AK23:AK25" ca="1" si="86">AE23</f>
        <v>0</v>
      </c>
      <c r="AL23" s="23">
        <f t="shared" ref="AL23:AL25" ca="1" si="87">IF(AF23=AG23, SUM(AF23, AG23), AF23)</f>
        <v>0</v>
      </c>
      <c r="AM23" s="23">
        <f t="shared" ref="AM23:AM25" ca="1" si="88">IF(AF23=AG23, AH23, AG23)</f>
        <v>0</v>
      </c>
      <c r="AN23" s="23">
        <f t="shared" ref="AN23:AN25" ca="1" si="89">IF(AF23=AG23, AI23, AH23)</f>
        <v>0</v>
      </c>
      <c r="AO23" s="23"/>
      <c r="AP23" s="23"/>
      <c r="AQ23" s="23">
        <f t="shared" ref="AQ23:AQ25" ca="1" si="90">AK23</f>
        <v>0</v>
      </c>
      <c r="AR23" s="23">
        <f t="shared" ref="AR23:AR25" ca="1" si="91">IF(AL23=AM23, SUM(AL23, AM23), AL23)</f>
        <v>0</v>
      </c>
      <c r="AS23" s="23">
        <f ca="1">IF(AM23=AN23, SUM(AM23, AN23), AM23)</f>
        <v>0</v>
      </c>
      <c r="AT23" s="23">
        <f ca="1">IF(AN23=AM23, AO23, AN23)</f>
        <v>0</v>
      </c>
      <c r="AU23" s="18"/>
      <c r="AW23" s="28">
        <f ca="1">AS22</f>
        <v>0</v>
      </c>
      <c r="AX23" s="9">
        <f ca="1">AS23</f>
        <v>0</v>
      </c>
      <c r="AY23" s="9">
        <f ca="1">AS24</f>
        <v>0</v>
      </c>
      <c r="AZ23" s="29">
        <f ca="1">AS25</f>
        <v>0</v>
      </c>
      <c r="BB23" s="36">
        <f t="shared" ref="BB23:BB25" ca="1" si="92">IF(AW23&gt;0, AW23, RAND())</f>
        <v>0.91979391606586569</v>
      </c>
      <c r="BC23" s="36">
        <f t="shared" ca="1" si="69"/>
        <v>0.88704149338418481</v>
      </c>
      <c r="BD23" s="36">
        <f t="shared" ca="1" si="70"/>
        <v>0.90658714118663275</v>
      </c>
      <c r="BE23" s="37">
        <f t="shared" ca="1" si="71"/>
        <v>0.85329577237424159</v>
      </c>
      <c r="BF23" s="36"/>
      <c r="BG23" s="36">
        <f t="shared" ref="BG23:BG25" ca="1" si="93">IF( MIN($BB$22:$BE$25) = BB23, 1, 0)</f>
        <v>0</v>
      </c>
      <c r="BH23" s="36">
        <f t="shared" ref="BH23:BH25" ca="1" si="94">IF( MIN($BB$22:$BE$25) = BC23, 1, 0)</f>
        <v>0</v>
      </c>
      <c r="BI23" s="36">
        <f t="shared" ref="BI23:BI25" ca="1" si="95">IF( MIN($BB$22:$BE$25) = BD23, 1, 0)</f>
        <v>0</v>
      </c>
      <c r="BJ23" s="36">
        <f t="shared" ref="BJ23:BJ25" ca="1" si="96">IF( MIN($BB$22:$BE$25) = BE23, 1, 0)</f>
        <v>0</v>
      </c>
      <c r="BL23" s="28">
        <f ca="1">IF(AW23&gt;0, AW23, IF(BG23=1,2,0))</f>
        <v>0</v>
      </c>
      <c r="BM23" s="9">
        <f ca="1">IF(AX23&gt;0, AX23, IF(BH23=1,2,0))</f>
        <v>0</v>
      </c>
      <c r="BN23" s="9">
        <f ca="1">IF(AY23&gt;0, AY23, IF(BI23=1,2,0))</f>
        <v>0</v>
      </c>
      <c r="BO23" s="29">
        <f ca="1">IF(AZ23&gt;0, AZ23, IF(BJ23=1,2,0))</f>
        <v>0</v>
      </c>
      <c r="BQ23" s="35">
        <f t="shared" ref="BQ23:BQ25" ca="1" si="97">IF(C11=AW23, 0, 1)</f>
        <v>0</v>
      </c>
      <c r="BR23" s="35">
        <f t="shared" ref="BR23:BR25" ca="1" si="98">IF(D11=AX23, 0, 1)</f>
        <v>0</v>
      </c>
      <c r="BS23" s="35">
        <f t="shared" ref="BS23:BS25" ca="1" si="99">IF(E11=AY23, 0, 1)</f>
        <v>0</v>
      </c>
      <c r="BT23" s="35">
        <f t="shared" ref="BT23:BT25" ca="1" si="100">IF(F11=AZ23, 0, 1)</f>
        <v>0</v>
      </c>
      <c r="BU23" s="18"/>
      <c r="BV23" s="18"/>
      <c r="BW23" s="18"/>
      <c r="BX23" s="18"/>
      <c r="BY23" s="18"/>
      <c r="BZ23" s="18"/>
    </row>
    <row r="24" spans="1:78" ht="18" customHeight="1" x14ac:dyDescent="0.3">
      <c r="C24" s="35">
        <f>E13</f>
        <v>2</v>
      </c>
      <c r="D24" s="35">
        <f>E12</f>
        <v>0</v>
      </c>
      <c r="E24" s="35">
        <f>E11</f>
        <v>0</v>
      </c>
      <c r="F24" s="35">
        <f>E10</f>
        <v>0</v>
      </c>
      <c r="G24" s="18"/>
      <c r="H24" s="18"/>
      <c r="I24" s="22"/>
      <c r="J24" s="23">
        <f ca="1">IFERROR(OFFSET(C24, 0, MATCH(TRUE,INDEX(C24:F24&lt;&gt;0,),0)-1),0)</f>
        <v>2</v>
      </c>
      <c r="K24" s="23">
        <f ca="1">IFERROR(OFFSET(C24, 0, MATCH(TRUE,INDEX(C24:F24&lt;&gt;0,),0)),0)</f>
        <v>0</v>
      </c>
      <c r="L24" s="23">
        <f ca="1">IFERROR(OFFSET(C24, 0, MATCH(TRUE,INDEX(C24:F24&lt;&gt;0,),0)+1),0)</f>
        <v>0</v>
      </c>
      <c r="M24" s="23">
        <f ca="1">IFERROR(OFFSET(C24, 0, MATCH(TRUE,INDEX(C24:F24&lt;&gt;0,),0)+2),0)</f>
        <v>0</v>
      </c>
      <c r="N24" s="23"/>
      <c r="O24" s="23"/>
      <c r="P24" s="23"/>
      <c r="Q24" s="23">
        <f t="shared" ca="1" si="74"/>
        <v>2</v>
      </c>
      <c r="R24" s="23">
        <f t="shared" ca="1" si="75"/>
        <v>0</v>
      </c>
      <c r="S24" s="23">
        <f t="shared" ca="1" si="76"/>
        <v>0</v>
      </c>
      <c r="T24" s="23">
        <f t="shared" ca="1" si="77"/>
        <v>0</v>
      </c>
      <c r="U24" s="23"/>
      <c r="V24" s="23"/>
      <c r="W24" s="23"/>
      <c r="X24" s="23">
        <f t="shared" ca="1" si="78"/>
        <v>2</v>
      </c>
      <c r="Y24" s="23">
        <f t="shared" ca="1" si="79"/>
        <v>0</v>
      </c>
      <c r="Z24" s="23">
        <f t="shared" ca="1" si="80"/>
        <v>0</v>
      </c>
      <c r="AA24" s="23">
        <f t="shared" ca="1" si="81"/>
        <v>0</v>
      </c>
      <c r="AB24" s="23"/>
      <c r="AC24" s="23"/>
      <c r="AD24" s="48"/>
      <c r="AE24" s="23">
        <f t="shared" ca="1" si="82"/>
        <v>2</v>
      </c>
      <c r="AF24" s="23">
        <f t="shared" ca="1" si="83"/>
        <v>0</v>
      </c>
      <c r="AG24" s="23">
        <f t="shared" ca="1" si="84"/>
        <v>0</v>
      </c>
      <c r="AH24" s="23">
        <f t="shared" ca="1" si="85"/>
        <v>0</v>
      </c>
      <c r="AI24" s="23"/>
      <c r="AJ24" s="23"/>
      <c r="AK24" s="23">
        <f t="shared" ca="1" si="86"/>
        <v>2</v>
      </c>
      <c r="AL24" s="23">
        <f t="shared" ca="1" si="87"/>
        <v>0</v>
      </c>
      <c r="AM24" s="23">
        <f t="shared" ca="1" si="88"/>
        <v>0</v>
      </c>
      <c r="AN24" s="23">
        <f t="shared" ca="1" si="89"/>
        <v>0</v>
      </c>
      <c r="AO24" s="23"/>
      <c r="AP24" s="23"/>
      <c r="AQ24" s="23">
        <f t="shared" ca="1" si="90"/>
        <v>2</v>
      </c>
      <c r="AR24" s="23">
        <f t="shared" ca="1" si="91"/>
        <v>0</v>
      </c>
      <c r="AS24" s="23">
        <f ca="1">IF(AM24=AN24, SUM(AM24, AN24), AM24)</f>
        <v>0</v>
      </c>
      <c r="AT24" s="23">
        <f ca="1">IF(AN24=AM24, AO24, AN24)</f>
        <v>0</v>
      </c>
      <c r="AU24" s="18"/>
      <c r="AW24" s="28">
        <f ca="1">AR22</f>
        <v>0</v>
      </c>
      <c r="AX24" s="9">
        <f ca="1">AR23</f>
        <v>0</v>
      </c>
      <c r="AY24" s="9">
        <f ca="1">AR24</f>
        <v>0</v>
      </c>
      <c r="AZ24" s="29">
        <f ca="1">AR25</f>
        <v>0</v>
      </c>
      <c r="BB24" s="36">
        <f t="shared" ca="1" si="92"/>
        <v>0.4776196496351901</v>
      </c>
      <c r="BC24" s="36">
        <f t="shared" ca="1" si="69"/>
        <v>0.71305008066866171</v>
      </c>
      <c r="BD24" s="36">
        <f t="shared" ca="1" si="70"/>
        <v>0.82541659414183111</v>
      </c>
      <c r="BE24" s="37">
        <f t="shared" ca="1" si="71"/>
        <v>0.14866391576647353</v>
      </c>
      <c r="BF24" s="36"/>
      <c r="BG24" s="36">
        <f t="shared" ca="1" si="93"/>
        <v>0</v>
      </c>
      <c r="BH24" s="36">
        <f t="shared" ca="1" si="94"/>
        <v>0</v>
      </c>
      <c r="BI24" s="36">
        <f t="shared" ca="1" si="95"/>
        <v>0</v>
      </c>
      <c r="BJ24" s="36">
        <f t="shared" ca="1" si="96"/>
        <v>1</v>
      </c>
      <c r="BL24" s="28">
        <f ca="1">IF(AW24&gt;0, AW24, IF(BG24=1,2,0))</f>
        <v>0</v>
      </c>
      <c r="BM24" s="9">
        <f ca="1">IF(AX24&gt;0, AX24, IF(BH24=1,2,0))</f>
        <v>0</v>
      </c>
      <c r="BN24" s="9">
        <f ca="1">IF(AY24&gt;0, AY24, IF(BI24=1,2,0))</f>
        <v>0</v>
      </c>
      <c r="BO24" s="29">
        <f ca="1">IF(AZ24&gt;0, AZ24, IF(BJ24=1,2,0))</f>
        <v>2</v>
      </c>
      <c r="BQ24" s="35">
        <f t="shared" ca="1" si="97"/>
        <v>0</v>
      </c>
      <c r="BR24" s="35">
        <f t="shared" ca="1" si="98"/>
        <v>0</v>
      </c>
      <c r="BS24" s="35">
        <f t="shared" ca="1" si="99"/>
        <v>0</v>
      </c>
      <c r="BT24" s="35">
        <f t="shared" ca="1" si="100"/>
        <v>0</v>
      </c>
      <c r="BU24" s="18"/>
      <c r="BV24" s="18"/>
      <c r="BW24" s="18"/>
      <c r="BX24" s="18"/>
      <c r="BY24" s="18"/>
      <c r="BZ24" s="18"/>
    </row>
    <row r="25" spans="1:78" ht="18" customHeight="1" thickBot="1" x14ac:dyDescent="0.35">
      <c r="C25" s="35">
        <f>F13</f>
        <v>0</v>
      </c>
      <c r="D25" s="35">
        <f>F12</f>
        <v>0</v>
      </c>
      <c r="E25" s="35">
        <f>F11</f>
        <v>0</v>
      </c>
      <c r="F25" s="35">
        <f>F10</f>
        <v>0</v>
      </c>
      <c r="G25" s="18"/>
      <c r="H25" s="18"/>
      <c r="I25" s="22"/>
      <c r="J25" s="23">
        <f ca="1">IFERROR(OFFSET(C25, 0, MATCH(TRUE,INDEX(C25:F25&lt;&gt;0,),0)-1),0)</f>
        <v>0</v>
      </c>
      <c r="K25" s="23">
        <f ca="1">IFERROR(OFFSET(C25, 0, MATCH(TRUE,INDEX(C25:F25&lt;&gt;0,),0)),0)</f>
        <v>0</v>
      </c>
      <c r="L25" s="23">
        <f ca="1">IFERROR(OFFSET(C25, 0, MATCH(TRUE,INDEX(C25:F25&lt;&gt;0,),0)+1),0)</f>
        <v>0</v>
      </c>
      <c r="M25" s="23">
        <f ca="1">IFERROR(OFFSET(C25, 0, MATCH(TRUE,INDEX(C25:F25&lt;&gt;0,),0)+2),0)</f>
        <v>0</v>
      </c>
      <c r="N25" s="23"/>
      <c r="O25" s="23"/>
      <c r="P25" s="23"/>
      <c r="Q25" s="23">
        <f t="shared" ca="1" si="74"/>
        <v>0</v>
      </c>
      <c r="R25" s="23">
        <f t="shared" ca="1" si="75"/>
        <v>0</v>
      </c>
      <c r="S25" s="23">
        <f t="shared" ca="1" si="76"/>
        <v>0</v>
      </c>
      <c r="T25" s="23">
        <f t="shared" ca="1" si="77"/>
        <v>0</v>
      </c>
      <c r="U25" s="23"/>
      <c r="V25" s="23"/>
      <c r="W25" s="23"/>
      <c r="X25" s="23">
        <f t="shared" ca="1" si="78"/>
        <v>0</v>
      </c>
      <c r="Y25" s="23">
        <f t="shared" ca="1" si="79"/>
        <v>0</v>
      </c>
      <c r="Z25" s="23">
        <f t="shared" ca="1" si="80"/>
        <v>0</v>
      </c>
      <c r="AA25" s="23">
        <f t="shared" ca="1" si="81"/>
        <v>0</v>
      </c>
      <c r="AB25" s="23"/>
      <c r="AC25" s="23"/>
      <c r="AD25" s="48"/>
      <c r="AE25" s="23">
        <f t="shared" ca="1" si="82"/>
        <v>0</v>
      </c>
      <c r="AF25" s="23">
        <f t="shared" ca="1" si="83"/>
        <v>0</v>
      </c>
      <c r="AG25" s="23">
        <f t="shared" ca="1" si="84"/>
        <v>0</v>
      </c>
      <c r="AH25" s="23">
        <f t="shared" ca="1" si="85"/>
        <v>0</v>
      </c>
      <c r="AI25" s="23"/>
      <c r="AJ25" s="23"/>
      <c r="AK25" s="23">
        <f t="shared" ca="1" si="86"/>
        <v>0</v>
      </c>
      <c r="AL25" s="23">
        <f t="shared" ca="1" si="87"/>
        <v>0</v>
      </c>
      <c r="AM25" s="23">
        <f t="shared" ca="1" si="88"/>
        <v>0</v>
      </c>
      <c r="AN25" s="23">
        <f t="shared" ca="1" si="89"/>
        <v>0</v>
      </c>
      <c r="AO25" s="23"/>
      <c r="AP25" s="23"/>
      <c r="AQ25" s="23">
        <f t="shared" ca="1" si="90"/>
        <v>0</v>
      </c>
      <c r="AR25" s="23">
        <f t="shared" ca="1" si="91"/>
        <v>0</v>
      </c>
      <c r="AS25" s="23">
        <f ca="1">IF(AM25=AN25, SUM(AM25, AN25), AM25)</f>
        <v>0</v>
      </c>
      <c r="AT25" s="23">
        <f ca="1">IF(AN25=AM25, AO25, AN25)</f>
        <v>0</v>
      </c>
      <c r="AU25" s="18"/>
      <c r="AW25" s="30">
        <f ca="1">AQ22</f>
        <v>2</v>
      </c>
      <c r="AX25" s="31">
        <f ca="1">AQ23</f>
        <v>0</v>
      </c>
      <c r="AY25" s="31">
        <f ca="1">AQ24</f>
        <v>2</v>
      </c>
      <c r="AZ25" s="32">
        <f ca="1">AQ25</f>
        <v>0</v>
      </c>
      <c r="BB25" s="36">
        <f t="shared" ca="1" si="92"/>
        <v>2</v>
      </c>
      <c r="BC25" s="36">
        <f t="shared" ca="1" si="69"/>
        <v>0.89683614895597508</v>
      </c>
      <c r="BD25" s="36">
        <f t="shared" ca="1" si="70"/>
        <v>2</v>
      </c>
      <c r="BE25" s="37">
        <f t="shared" ca="1" si="71"/>
        <v>0.92033587283190099</v>
      </c>
      <c r="BF25" s="36"/>
      <c r="BG25" s="36">
        <f t="shared" ca="1" si="93"/>
        <v>0</v>
      </c>
      <c r="BH25" s="36">
        <f t="shared" ca="1" si="94"/>
        <v>0</v>
      </c>
      <c r="BI25" s="36">
        <f t="shared" ca="1" si="95"/>
        <v>0</v>
      </c>
      <c r="BJ25" s="36">
        <f t="shared" ca="1" si="96"/>
        <v>0</v>
      </c>
      <c r="BL25" s="30">
        <f ca="1">IF(AW25&gt;0, AW25, IF(BG25=1,2,0))</f>
        <v>2</v>
      </c>
      <c r="BM25" s="31">
        <f ca="1">IF(AX25&gt;0, AX25, IF(BH25=1,2,0))</f>
        <v>0</v>
      </c>
      <c r="BN25" s="31">
        <f ca="1">IF(AY25&gt;0, AY25, IF(BI25=1,2,0))</f>
        <v>2</v>
      </c>
      <c r="BO25" s="32">
        <f ca="1">IF(AZ25&gt;0, AZ25, IF(BJ25=1,2,0))</f>
        <v>0</v>
      </c>
      <c r="BQ25" s="35">
        <f t="shared" ca="1" si="97"/>
        <v>0</v>
      </c>
      <c r="BR25" s="35">
        <f t="shared" ca="1" si="98"/>
        <v>0</v>
      </c>
      <c r="BS25" s="35">
        <f t="shared" ca="1" si="99"/>
        <v>0</v>
      </c>
      <c r="BT25" s="35">
        <f t="shared" ca="1" si="100"/>
        <v>0</v>
      </c>
      <c r="BU25" s="18"/>
      <c r="BV25" s="18"/>
      <c r="BW25" s="18"/>
      <c r="BX25" s="18"/>
      <c r="BY25" s="18"/>
      <c r="BZ25" s="18"/>
    </row>
    <row r="26" spans="1:78" ht="18" customHeight="1" x14ac:dyDescent="0.3"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50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BB26" s="36"/>
      <c r="BC26" s="36"/>
      <c r="BD26" s="36"/>
      <c r="BE26" s="37"/>
      <c r="BF26" s="36"/>
      <c r="BG26" s="36"/>
      <c r="BH26" s="36"/>
      <c r="BI26" s="36"/>
      <c r="BJ26" s="36"/>
      <c r="BQ26" s="18"/>
      <c r="BR26" s="18"/>
      <c r="BS26" s="18"/>
      <c r="BT26" s="18"/>
      <c r="BU26" s="18"/>
      <c r="BV26" s="18"/>
      <c r="BW26" s="18"/>
      <c r="BX26" s="18"/>
      <c r="BY26" s="18"/>
      <c r="BZ26" s="18"/>
    </row>
    <row r="27" spans="1:78" ht="18" customHeight="1" thickBot="1" x14ac:dyDescent="0.35"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50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BB27" s="36"/>
      <c r="BC27" s="36"/>
      <c r="BD27" s="36"/>
      <c r="BE27" s="37"/>
      <c r="BF27" s="36"/>
      <c r="BG27" s="36"/>
      <c r="BH27" s="36"/>
      <c r="BI27" s="36"/>
      <c r="BJ27" s="36"/>
      <c r="BQ27" s="18"/>
      <c r="BR27" s="18"/>
      <c r="BS27" s="18"/>
      <c r="BT27" s="18"/>
      <c r="BU27" s="18"/>
      <c r="BV27" s="18"/>
      <c r="BW27" s="18"/>
      <c r="BX27" s="18"/>
      <c r="BY27" s="18"/>
      <c r="BZ27" s="18"/>
    </row>
    <row r="28" spans="1:78" ht="18" customHeight="1" x14ac:dyDescent="0.3">
      <c r="A28" s="1" t="s">
        <v>9</v>
      </c>
      <c r="C28" s="35">
        <f>F10</f>
        <v>0</v>
      </c>
      <c r="D28" s="35">
        <f>E10</f>
        <v>0</v>
      </c>
      <c r="E28" s="35">
        <f>D10</f>
        <v>0</v>
      </c>
      <c r="F28" s="35">
        <f>C10</f>
        <v>0</v>
      </c>
      <c r="G28" s="18"/>
      <c r="H28" s="18"/>
      <c r="I28" s="22"/>
      <c r="J28" s="23">
        <f ca="1">IFERROR(OFFSET(C28, 0, MATCH(TRUE,INDEX(C28:F28&lt;&gt;0,),0)-1),0)</f>
        <v>0</v>
      </c>
      <c r="K28" s="23">
        <f ca="1">IFERROR(OFFSET(C28, 0, MATCH(TRUE,INDEX(C28:F28&lt;&gt;0,),0)),0)</f>
        <v>0</v>
      </c>
      <c r="L28" s="23">
        <f ca="1">IFERROR(OFFSET(C28, 0, MATCH(TRUE,INDEX(C28:F28&lt;&gt;0,),0)+1),0)</f>
        <v>0</v>
      </c>
      <c r="M28" s="23">
        <f ca="1">IFERROR(OFFSET(C28, 0, MATCH(TRUE,INDEX(C28:F28&lt;&gt;0,),0)+2),0)</f>
        <v>0</v>
      </c>
      <c r="N28" s="23"/>
      <c r="O28" s="23"/>
      <c r="P28" s="23"/>
      <c r="Q28" s="23">
        <f ca="1">J28</f>
        <v>0</v>
      </c>
      <c r="R28" s="23">
        <f ca="1">IFERROR(OFFSET(K28, 0, MATCH(TRUE,INDEX(K28:M28&lt;&gt;0,),0)-1),0)</f>
        <v>0</v>
      </c>
      <c r="S28" s="23">
        <f ca="1">IFERROR(OFFSET(K28, 0, MATCH(TRUE,INDEX(K28:M28&lt;&gt;0,),0)),0)</f>
        <v>0</v>
      </c>
      <c r="T28" s="23">
        <f ca="1">IFERROR(OFFSET(K28, 0, MATCH(TRUE,INDEX(K28:M28&lt;&gt;0,),0)+1),0)</f>
        <v>0</v>
      </c>
      <c r="U28" s="23"/>
      <c r="V28" s="23"/>
      <c r="W28" s="23"/>
      <c r="X28" s="23">
        <f ca="1">Q28</f>
        <v>0</v>
      </c>
      <c r="Y28" s="23">
        <f ca="1">R28</f>
        <v>0</v>
      </c>
      <c r="Z28" s="23">
        <f ca="1">IFERROR(OFFSET(S28, 0, MATCH(TRUE,INDEX(S28:T28&lt;&gt;0,),0)-1),0)</f>
        <v>0</v>
      </c>
      <c r="AA28" s="23">
        <f ca="1">IFERROR(OFFSET(S28, 0, MATCH(TRUE,INDEX(S28:T28&lt;&gt;0,),0)),0)</f>
        <v>0</v>
      </c>
      <c r="AB28" s="23"/>
      <c r="AC28" s="23"/>
      <c r="AD28" s="48"/>
      <c r="AE28" s="23">
        <f ca="1">IF(X28=Y28, SUM(X28, Y28), X28)</f>
        <v>0</v>
      </c>
      <c r="AF28" s="23">
        <f ca="1">IF(X28=Y28, Z28, Y28)</f>
        <v>0</v>
      </c>
      <c r="AG28" s="23">
        <f ca="1">IF(X28=Y28, AA28, Z28)</f>
        <v>0</v>
      </c>
      <c r="AH28" s="23">
        <f ca="1">IF(X28=Y28, AD28, AA28)</f>
        <v>0</v>
      </c>
      <c r="AI28" s="23"/>
      <c r="AJ28" s="23"/>
      <c r="AK28" s="23">
        <f ca="1">AE28</f>
        <v>0</v>
      </c>
      <c r="AL28" s="23">
        <f ca="1">IF(AF28=AG28, SUM(AF28, AG28), AF28)</f>
        <v>0</v>
      </c>
      <c r="AM28" s="23">
        <f ca="1">IF(AF28=AG28, AH28, AG28)</f>
        <v>0</v>
      </c>
      <c r="AN28" s="23">
        <f ca="1">IF(AF28=AG28, AI28, AH28)</f>
        <v>0</v>
      </c>
      <c r="AO28" s="23"/>
      <c r="AP28" s="23"/>
      <c r="AQ28" s="23">
        <f ca="1">AK28</f>
        <v>0</v>
      </c>
      <c r="AR28" s="23">
        <f ca="1">IF(AL28=AM28, SUM(AL28, AM28), AL28)</f>
        <v>0</v>
      </c>
      <c r="AS28" s="23">
        <f ca="1">IF(AM28=AN28, SUM(AM28, AN28), AM28)</f>
        <v>0</v>
      </c>
      <c r="AT28" s="23">
        <f ca="1">IF(AN28=AM28, AO28, AN28)</f>
        <v>0</v>
      </c>
      <c r="AU28" s="18"/>
      <c r="AW28" s="25">
        <f ca="1">AT28</f>
        <v>0</v>
      </c>
      <c r="AX28" s="26">
        <f ca="1">AS28</f>
        <v>0</v>
      </c>
      <c r="AY28" s="26">
        <f ca="1">AR28</f>
        <v>0</v>
      </c>
      <c r="AZ28" s="27">
        <f ca="1">AQ28</f>
        <v>0</v>
      </c>
      <c r="BB28" s="36">
        <f ca="1">IF(AW28&gt;0, AW28, RAND())</f>
        <v>0.87755259292259347</v>
      </c>
      <c r="BC28" s="36">
        <f t="shared" ref="BC28:BC31" ca="1" si="101">IF(AX28&gt;0, AX28, RAND())</f>
        <v>0.3738698944497022</v>
      </c>
      <c r="BD28" s="36">
        <f t="shared" ref="BD28:BD31" ca="1" si="102">IF(AY28&gt;0, AY28, RAND())</f>
        <v>0.97494424051675044</v>
      </c>
      <c r="BE28" s="37">
        <f t="shared" ref="BE28:BE31" ca="1" si="103">IF(AZ28&gt;0, AZ28, RAND())</f>
        <v>0.77843045130898258</v>
      </c>
      <c r="BF28" s="36"/>
      <c r="BG28" s="36">
        <f ca="1">IF( MIN($BB$28:$BE$31) = BB28, 1, 0)</f>
        <v>0</v>
      </c>
      <c r="BH28" s="36">
        <f t="shared" ref="BH28:BJ28" ca="1" si="104">IF( MIN($BB$28:$BE$31) = BC28, 1, 0)</f>
        <v>0</v>
      </c>
      <c r="BI28" s="36">
        <f t="shared" ca="1" si="104"/>
        <v>0</v>
      </c>
      <c r="BJ28" s="36">
        <f t="shared" ca="1" si="104"/>
        <v>0</v>
      </c>
      <c r="BL28" s="25">
        <f ca="1">IF(AW28&gt;0, AW28, IF(BG28=1,2,0))</f>
        <v>0</v>
      </c>
      <c r="BM28" s="26">
        <f ca="1">IF(AX28&gt;0, AX28, IF(BH28=1,2,0))</f>
        <v>0</v>
      </c>
      <c r="BN28" s="26">
        <f ca="1">IF(AY28&gt;0, AY28, IF(BI28=1,2,0))</f>
        <v>0</v>
      </c>
      <c r="BO28" s="27">
        <f ca="1">IF(AZ28&gt;0, AZ28, IF(BJ28=1,2,0))</f>
        <v>0</v>
      </c>
      <c r="BQ28" s="35">
        <f ca="1">IF(C10=AW28, 0, 1)</f>
        <v>0</v>
      </c>
      <c r="BR28" s="35">
        <f t="shared" ref="BR28:BT28" ca="1" si="105">IF(D10=AX28, 0, 1)</f>
        <v>0</v>
      </c>
      <c r="BS28" s="35">
        <f t="shared" ca="1" si="105"/>
        <v>0</v>
      </c>
      <c r="BT28" s="35">
        <f t="shared" ca="1" si="105"/>
        <v>0</v>
      </c>
      <c r="BU28" s="18"/>
      <c r="BV28" s="18">
        <f ca="1">IF(MAX(BQ28:BT31)=0,0,1)</f>
        <v>1</v>
      </c>
      <c r="BW28" s="18"/>
      <c r="BX28" s="18"/>
      <c r="BY28" s="18"/>
      <c r="BZ28" s="18"/>
    </row>
    <row r="29" spans="1:78" ht="18" customHeight="1" x14ac:dyDescent="0.3">
      <c r="C29" s="35">
        <f t="shared" ref="C29:C31" si="106">F11</f>
        <v>0</v>
      </c>
      <c r="D29" s="35">
        <f>E11</f>
        <v>0</v>
      </c>
      <c r="E29" s="35">
        <f>D11</f>
        <v>0</v>
      </c>
      <c r="F29" s="35">
        <f>C11</f>
        <v>0</v>
      </c>
      <c r="G29" s="18"/>
      <c r="H29" s="18"/>
      <c r="I29" s="22"/>
      <c r="J29" s="23">
        <f ca="1">IFERROR(OFFSET(C29, 0, MATCH(TRUE,INDEX(C29:F29&lt;&gt;0,),0)-1),0)</f>
        <v>0</v>
      </c>
      <c r="K29" s="23">
        <f ca="1">IFERROR(OFFSET(C29, 0, MATCH(TRUE,INDEX(C29:F29&lt;&gt;0,),0)),0)</f>
        <v>0</v>
      </c>
      <c r="L29" s="23">
        <f ca="1">IFERROR(OFFSET(C29, 0, MATCH(TRUE,INDEX(C29:F29&lt;&gt;0,),0)+1),0)</f>
        <v>0</v>
      </c>
      <c r="M29" s="23">
        <f ca="1">IFERROR(OFFSET(C29, 0, MATCH(TRUE,INDEX(C29:F29&lt;&gt;0,),0)+2),0)</f>
        <v>0</v>
      </c>
      <c r="N29" s="23"/>
      <c r="O29" s="23"/>
      <c r="P29" s="23"/>
      <c r="Q29" s="23">
        <f t="shared" ref="Q29:Q31" ca="1" si="107">J29</f>
        <v>0</v>
      </c>
      <c r="R29" s="23">
        <f t="shared" ref="R29:R31" ca="1" si="108">IFERROR(OFFSET(K29, 0, MATCH(TRUE,INDEX(K29:M29&lt;&gt;0,),0)-1),0)</f>
        <v>0</v>
      </c>
      <c r="S29" s="23">
        <f t="shared" ref="S29:S31" ca="1" si="109">IFERROR(OFFSET(K29, 0, MATCH(TRUE,INDEX(K29:M29&lt;&gt;0,),0)),0)</f>
        <v>0</v>
      </c>
      <c r="T29" s="23">
        <f t="shared" ref="T29:T31" ca="1" si="110">IFERROR(OFFSET(K29, 0, MATCH(TRUE,INDEX(K29:M29&lt;&gt;0,),0)+1),0)</f>
        <v>0</v>
      </c>
      <c r="U29" s="23"/>
      <c r="V29" s="23"/>
      <c r="W29" s="23"/>
      <c r="X29" s="23">
        <f t="shared" ref="X29:X31" ca="1" si="111">Q29</f>
        <v>0</v>
      </c>
      <c r="Y29" s="23">
        <f t="shared" ref="Y29:Y31" ca="1" si="112">R29</f>
        <v>0</v>
      </c>
      <c r="Z29" s="23">
        <f t="shared" ref="Z29:Z31" ca="1" si="113">IFERROR(OFFSET(S29, 0, MATCH(TRUE,INDEX(S29:T29&lt;&gt;0,),0)-1),0)</f>
        <v>0</v>
      </c>
      <c r="AA29" s="23">
        <f t="shared" ref="AA29:AA31" ca="1" si="114">IFERROR(OFFSET(S29, 0, MATCH(TRUE,INDEX(S29:T29&lt;&gt;0,),0)),0)</f>
        <v>0</v>
      </c>
      <c r="AB29" s="23"/>
      <c r="AC29" s="23"/>
      <c r="AD29" s="48"/>
      <c r="AE29" s="23">
        <f t="shared" ref="AE29:AE31" ca="1" si="115">IF(X29=Y29, SUM(X29, Y29), X29)</f>
        <v>0</v>
      </c>
      <c r="AF29" s="23">
        <f t="shared" ref="AF29:AF31" ca="1" si="116">IF(X29=Y29, Z29, Y29)</f>
        <v>0</v>
      </c>
      <c r="AG29" s="23">
        <f t="shared" ref="AG29:AG31" ca="1" si="117">IF(X29=Y29, AA29, Z29)</f>
        <v>0</v>
      </c>
      <c r="AH29" s="23">
        <f t="shared" ref="AH29:AH31" ca="1" si="118">IF(X29=Y29, AD29, AA29)</f>
        <v>0</v>
      </c>
      <c r="AI29" s="23"/>
      <c r="AJ29" s="23"/>
      <c r="AK29" s="23">
        <f t="shared" ref="AK29:AK31" ca="1" si="119">AE29</f>
        <v>0</v>
      </c>
      <c r="AL29" s="23">
        <f t="shared" ref="AL29:AL31" ca="1" si="120">IF(AF29=AG29, SUM(AF29, AG29), AF29)</f>
        <v>0</v>
      </c>
      <c r="AM29" s="23">
        <f t="shared" ref="AM29:AM31" ca="1" si="121">IF(AF29=AG29, AH29, AG29)</f>
        <v>0</v>
      </c>
      <c r="AN29" s="23">
        <f t="shared" ref="AN29:AN31" ca="1" si="122">IF(AF29=AG29, AI29, AH29)</f>
        <v>0</v>
      </c>
      <c r="AO29" s="23"/>
      <c r="AP29" s="23"/>
      <c r="AQ29" s="23">
        <f t="shared" ref="AQ29:AQ31" ca="1" si="123">AK29</f>
        <v>0</v>
      </c>
      <c r="AR29" s="23">
        <f t="shared" ref="AR29:AR31" ca="1" si="124">IF(AL29=AM29, SUM(AL29, AM29), AL29)</f>
        <v>0</v>
      </c>
      <c r="AS29" s="23">
        <f ca="1">IF(AM29=AN29, SUM(AM29, AN29), AM29)</f>
        <v>0</v>
      </c>
      <c r="AT29" s="23">
        <f ca="1">IF(AN29=AM29, AO29, AN29)</f>
        <v>0</v>
      </c>
      <c r="AU29" s="18"/>
      <c r="AW29" s="28">
        <f t="shared" ref="AW29:AW31" ca="1" si="125">AT29</f>
        <v>0</v>
      </c>
      <c r="AX29" s="9">
        <f t="shared" ref="AX29:AX31" ca="1" si="126">AS29</f>
        <v>0</v>
      </c>
      <c r="AY29" s="9">
        <f t="shared" ref="AY29:AY31" ca="1" si="127">AR29</f>
        <v>0</v>
      </c>
      <c r="AZ29" s="29">
        <f t="shared" ref="AZ29:AZ31" ca="1" si="128">AQ29</f>
        <v>0</v>
      </c>
      <c r="BB29" s="36">
        <f t="shared" ref="BB29:BB31" ca="1" si="129">IF(AW29&gt;0, AW29, RAND())</f>
        <v>0.47889761091337735</v>
      </c>
      <c r="BC29" s="36">
        <f t="shared" ca="1" si="101"/>
        <v>0.51324817707921799</v>
      </c>
      <c r="BD29" s="36">
        <f t="shared" ca="1" si="102"/>
        <v>0.39734875087479671</v>
      </c>
      <c r="BE29" s="37">
        <f t="shared" ca="1" si="103"/>
        <v>0.95441733562774778</v>
      </c>
      <c r="BF29" s="36"/>
      <c r="BG29" s="36">
        <f t="shared" ref="BG29:BG31" ca="1" si="130">IF( MIN($BB$28:$BE$31) = BB29, 1, 0)</f>
        <v>0</v>
      </c>
      <c r="BH29" s="36">
        <f t="shared" ref="BH29:BH31" ca="1" si="131">IF( MIN($BB$28:$BE$31) = BC29, 1, 0)</f>
        <v>0</v>
      </c>
      <c r="BI29" s="36">
        <f t="shared" ref="BI29:BI31" ca="1" si="132">IF( MIN($BB$28:$BE$31) = BD29, 1, 0)</f>
        <v>0</v>
      </c>
      <c r="BJ29" s="36">
        <f t="shared" ref="BJ29:BJ31" ca="1" si="133">IF( MIN($BB$28:$BE$31) = BE29, 1, 0)</f>
        <v>0</v>
      </c>
      <c r="BL29" s="28">
        <f ca="1">IF(AW29&gt;0, AW29, IF(BG29=1,2,0))</f>
        <v>0</v>
      </c>
      <c r="BM29" s="9">
        <f ca="1">IF(AX29&gt;0, AX29, IF(BH29=1,2,0))</f>
        <v>0</v>
      </c>
      <c r="BN29" s="9">
        <f ca="1">IF(AY29&gt;0, AY29, IF(BI29=1,2,0))</f>
        <v>0</v>
      </c>
      <c r="BO29" s="29">
        <f ca="1">IF(AZ29&gt;0, AZ29, IF(BJ29=1,2,0))</f>
        <v>0</v>
      </c>
      <c r="BQ29" s="35">
        <f t="shared" ref="BQ29:BQ31" ca="1" si="134">IF(C11=AW29, 0, 1)</f>
        <v>0</v>
      </c>
      <c r="BR29" s="35">
        <f t="shared" ref="BR29:BR31" ca="1" si="135">IF(D11=AX29, 0, 1)</f>
        <v>0</v>
      </c>
      <c r="BS29" s="35">
        <f t="shared" ref="BS29:BS31" ca="1" si="136">IF(E11=AY29, 0, 1)</f>
        <v>0</v>
      </c>
      <c r="BT29" s="35">
        <f t="shared" ref="BT29:BT31" ca="1" si="137">IF(F11=AZ29, 0, 1)</f>
        <v>0</v>
      </c>
      <c r="BU29" s="18"/>
      <c r="BV29" s="18"/>
      <c r="BW29" s="18"/>
      <c r="BX29" s="18"/>
      <c r="BY29" s="18"/>
      <c r="BZ29" s="18"/>
    </row>
    <row r="30" spans="1:78" ht="18" customHeight="1" x14ac:dyDescent="0.3">
      <c r="C30" s="35">
        <f t="shared" si="106"/>
        <v>0</v>
      </c>
      <c r="D30" s="35">
        <f>E12</f>
        <v>0</v>
      </c>
      <c r="E30" s="35">
        <f>D12</f>
        <v>0</v>
      </c>
      <c r="F30" s="35">
        <f>C12</f>
        <v>0</v>
      </c>
      <c r="G30" s="18"/>
      <c r="H30" s="18"/>
      <c r="I30" s="22"/>
      <c r="J30" s="23">
        <f ca="1">IFERROR(OFFSET(C30, 0, MATCH(TRUE,INDEX(C30:F30&lt;&gt;0,),0)-1),0)</f>
        <v>0</v>
      </c>
      <c r="K30" s="23">
        <f ca="1">IFERROR(OFFSET(C30, 0, MATCH(TRUE,INDEX(C30:F30&lt;&gt;0,),0)),0)</f>
        <v>0</v>
      </c>
      <c r="L30" s="23">
        <f ca="1">IFERROR(OFFSET(C30, 0, MATCH(TRUE,INDEX(C30:F30&lt;&gt;0,),0)+1),0)</f>
        <v>0</v>
      </c>
      <c r="M30" s="23">
        <f ca="1">IFERROR(OFFSET(C30, 0, MATCH(TRUE,INDEX(C30:F30&lt;&gt;0,),0)+2),0)</f>
        <v>0</v>
      </c>
      <c r="N30" s="23"/>
      <c r="O30" s="23"/>
      <c r="P30" s="23"/>
      <c r="Q30" s="23">
        <f t="shared" ca="1" si="107"/>
        <v>0</v>
      </c>
      <c r="R30" s="23">
        <f t="shared" ca="1" si="108"/>
        <v>0</v>
      </c>
      <c r="S30" s="23">
        <f t="shared" ca="1" si="109"/>
        <v>0</v>
      </c>
      <c r="T30" s="23">
        <f t="shared" ca="1" si="110"/>
        <v>0</v>
      </c>
      <c r="U30" s="23"/>
      <c r="V30" s="23"/>
      <c r="W30" s="23"/>
      <c r="X30" s="23">
        <f t="shared" ca="1" si="111"/>
        <v>0</v>
      </c>
      <c r="Y30" s="23">
        <f t="shared" ca="1" si="112"/>
        <v>0</v>
      </c>
      <c r="Z30" s="23">
        <f t="shared" ca="1" si="113"/>
        <v>0</v>
      </c>
      <c r="AA30" s="23">
        <f t="shared" ca="1" si="114"/>
        <v>0</v>
      </c>
      <c r="AB30" s="23"/>
      <c r="AC30" s="23"/>
      <c r="AD30" s="48"/>
      <c r="AE30" s="23">
        <f t="shared" ca="1" si="115"/>
        <v>0</v>
      </c>
      <c r="AF30" s="23">
        <f t="shared" ca="1" si="116"/>
        <v>0</v>
      </c>
      <c r="AG30" s="23">
        <f t="shared" ca="1" si="117"/>
        <v>0</v>
      </c>
      <c r="AH30" s="23">
        <f t="shared" ca="1" si="118"/>
        <v>0</v>
      </c>
      <c r="AI30" s="23"/>
      <c r="AJ30" s="23"/>
      <c r="AK30" s="23">
        <f t="shared" ca="1" si="119"/>
        <v>0</v>
      </c>
      <c r="AL30" s="23">
        <f t="shared" ca="1" si="120"/>
        <v>0</v>
      </c>
      <c r="AM30" s="23">
        <f t="shared" ca="1" si="121"/>
        <v>0</v>
      </c>
      <c r="AN30" s="23">
        <f t="shared" ca="1" si="122"/>
        <v>0</v>
      </c>
      <c r="AO30" s="23"/>
      <c r="AP30" s="23"/>
      <c r="AQ30" s="23">
        <f t="shared" ca="1" si="123"/>
        <v>0</v>
      </c>
      <c r="AR30" s="23">
        <f t="shared" ca="1" si="124"/>
        <v>0</v>
      </c>
      <c r="AS30" s="23">
        <f ca="1">IF(AM30=AN30, SUM(AM30, AN30), AM30)</f>
        <v>0</v>
      </c>
      <c r="AT30" s="23">
        <f ca="1">IF(AN30=AM30, AO30, AN30)</f>
        <v>0</v>
      </c>
      <c r="AU30" s="18"/>
      <c r="AW30" s="28">
        <f t="shared" ca="1" si="125"/>
        <v>0</v>
      </c>
      <c r="AX30" s="9">
        <f t="shared" ca="1" si="126"/>
        <v>0</v>
      </c>
      <c r="AY30" s="9">
        <f t="shared" ca="1" si="127"/>
        <v>0</v>
      </c>
      <c r="AZ30" s="29">
        <f t="shared" ca="1" si="128"/>
        <v>0</v>
      </c>
      <c r="BB30" s="36">
        <f t="shared" ca="1" si="129"/>
        <v>0.80022416138224461</v>
      </c>
      <c r="BC30" s="36">
        <f t="shared" ca="1" si="101"/>
        <v>0.70131616501906446</v>
      </c>
      <c r="BD30" s="36">
        <f t="shared" ca="1" si="102"/>
        <v>4.3995229029596961E-2</v>
      </c>
      <c r="BE30" s="37">
        <f t="shared" ca="1" si="103"/>
        <v>0.47064696169264342</v>
      </c>
      <c r="BF30" s="36"/>
      <c r="BG30" s="36">
        <f t="shared" ca="1" si="130"/>
        <v>0</v>
      </c>
      <c r="BH30" s="36">
        <f t="shared" ca="1" si="131"/>
        <v>0</v>
      </c>
      <c r="BI30" s="36">
        <f t="shared" ca="1" si="132"/>
        <v>1</v>
      </c>
      <c r="BJ30" s="36">
        <f t="shared" ca="1" si="133"/>
        <v>0</v>
      </c>
      <c r="BL30" s="28">
        <f ca="1">IF(AW30&gt;0, AW30, IF(BG30=1,2,0))</f>
        <v>0</v>
      </c>
      <c r="BM30" s="9">
        <f ca="1">IF(AX30&gt;0, AX30, IF(BH30=1,2,0))</f>
        <v>0</v>
      </c>
      <c r="BN30" s="9">
        <f ca="1">IF(AY30&gt;0, AY30, IF(BI30=1,2,0))</f>
        <v>2</v>
      </c>
      <c r="BO30" s="29">
        <f ca="1">IF(AZ30&gt;0, AZ30, IF(BJ30=1,2,0))</f>
        <v>0</v>
      </c>
      <c r="BQ30" s="35">
        <f t="shared" ca="1" si="134"/>
        <v>0</v>
      </c>
      <c r="BR30" s="35">
        <f t="shared" ca="1" si="135"/>
        <v>0</v>
      </c>
      <c r="BS30" s="35">
        <f t="shared" ca="1" si="136"/>
        <v>0</v>
      </c>
      <c r="BT30" s="35">
        <f t="shared" ca="1" si="137"/>
        <v>0</v>
      </c>
      <c r="BU30" s="18"/>
      <c r="BV30" s="18"/>
      <c r="BW30" s="18"/>
      <c r="BX30" s="18"/>
      <c r="BY30" s="18"/>
      <c r="BZ30" s="18"/>
    </row>
    <row r="31" spans="1:78" ht="18" customHeight="1" thickBot="1" x14ac:dyDescent="0.35">
      <c r="C31" s="35">
        <f t="shared" si="106"/>
        <v>0</v>
      </c>
      <c r="D31" s="35">
        <f>E13</f>
        <v>2</v>
      </c>
      <c r="E31" s="35">
        <f>D13</f>
        <v>0</v>
      </c>
      <c r="F31" s="35">
        <f>C13</f>
        <v>2</v>
      </c>
      <c r="G31" s="18"/>
      <c r="H31" s="18"/>
      <c r="I31" s="22"/>
      <c r="J31" s="23">
        <f ca="1">IFERROR(OFFSET(C31, 0, MATCH(TRUE,INDEX(C31:F31&lt;&gt;0,),0)-1),0)</f>
        <v>2</v>
      </c>
      <c r="K31" s="23">
        <f ca="1">IFERROR(OFFSET(C31, 0, MATCH(TRUE,INDEX(C31:F31&lt;&gt;0,),0)),0)</f>
        <v>0</v>
      </c>
      <c r="L31" s="23">
        <f ca="1">IFERROR(OFFSET(C31, 0, MATCH(TRUE,INDEX(C31:F31&lt;&gt;0,),0)+1),0)</f>
        <v>2</v>
      </c>
      <c r="M31" s="23">
        <f ca="1">IFERROR(OFFSET(C31, 0, MATCH(TRUE,INDEX(C31:F31&lt;&gt;0,),0)+2),0)</f>
        <v>0</v>
      </c>
      <c r="N31" s="23"/>
      <c r="O31" s="23"/>
      <c r="P31" s="23"/>
      <c r="Q31" s="23">
        <f t="shared" ca="1" si="107"/>
        <v>2</v>
      </c>
      <c r="R31" s="23">
        <f t="shared" ca="1" si="108"/>
        <v>2</v>
      </c>
      <c r="S31" s="23">
        <f t="shared" ca="1" si="109"/>
        <v>0</v>
      </c>
      <c r="T31" s="23">
        <f t="shared" ca="1" si="110"/>
        <v>0</v>
      </c>
      <c r="U31" s="23"/>
      <c r="V31" s="23"/>
      <c r="W31" s="23"/>
      <c r="X31" s="23">
        <f t="shared" ca="1" si="111"/>
        <v>2</v>
      </c>
      <c r="Y31" s="23">
        <f t="shared" ca="1" si="112"/>
        <v>2</v>
      </c>
      <c r="Z31" s="23">
        <f t="shared" ca="1" si="113"/>
        <v>0</v>
      </c>
      <c r="AA31" s="23">
        <f t="shared" ca="1" si="114"/>
        <v>0</v>
      </c>
      <c r="AB31" s="23"/>
      <c r="AC31" s="23"/>
      <c r="AD31" s="48"/>
      <c r="AE31" s="23">
        <f t="shared" ca="1" si="115"/>
        <v>4</v>
      </c>
      <c r="AF31" s="23">
        <f t="shared" ca="1" si="116"/>
        <v>0</v>
      </c>
      <c r="AG31" s="23">
        <f t="shared" ca="1" si="117"/>
        <v>0</v>
      </c>
      <c r="AH31" s="23">
        <f t="shared" ca="1" si="118"/>
        <v>0</v>
      </c>
      <c r="AI31" s="23"/>
      <c r="AJ31" s="23"/>
      <c r="AK31" s="23">
        <f t="shared" ca="1" si="119"/>
        <v>4</v>
      </c>
      <c r="AL31" s="23">
        <f t="shared" ca="1" si="120"/>
        <v>0</v>
      </c>
      <c r="AM31" s="23">
        <f t="shared" ca="1" si="121"/>
        <v>0</v>
      </c>
      <c r="AN31" s="23">
        <f t="shared" ca="1" si="122"/>
        <v>0</v>
      </c>
      <c r="AO31" s="23"/>
      <c r="AP31" s="23"/>
      <c r="AQ31" s="23">
        <f t="shared" ca="1" si="123"/>
        <v>4</v>
      </c>
      <c r="AR31" s="23">
        <f t="shared" ca="1" si="124"/>
        <v>0</v>
      </c>
      <c r="AS31" s="23">
        <f ca="1">IF(AM31=AN31, SUM(AM31, AN31), AM31)</f>
        <v>0</v>
      </c>
      <c r="AT31" s="23">
        <f ca="1">IF(AN31=AM31, AO31, AN31)</f>
        <v>0</v>
      </c>
      <c r="AU31" s="18"/>
      <c r="AW31" s="30">
        <f t="shared" ca="1" si="125"/>
        <v>0</v>
      </c>
      <c r="AX31" s="31">
        <f t="shared" ca="1" si="126"/>
        <v>0</v>
      </c>
      <c r="AY31" s="31">
        <f t="shared" ca="1" si="127"/>
        <v>0</v>
      </c>
      <c r="AZ31" s="32">
        <f t="shared" ca="1" si="128"/>
        <v>4</v>
      </c>
      <c r="BB31" s="36">
        <f t="shared" ca="1" si="129"/>
        <v>0.37887875343977495</v>
      </c>
      <c r="BC31" s="36">
        <f t="shared" ca="1" si="101"/>
        <v>0.23224483865446521</v>
      </c>
      <c r="BD31" s="36">
        <f t="shared" ca="1" si="102"/>
        <v>0.57520964836508615</v>
      </c>
      <c r="BE31" s="37">
        <f t="shared" ca="1" si="103"/>
        <v>4</v>
      </c>
      <c r="BF31" s="36"/>
      <c r="BG31" s="36">
        <f t="shared" ca="1" si="130"/>
        <v>0</v>
      </c>
      <c r="BH31" s="36">
        <f t="shared" ca="1" si="131"/>
        <v>0</v>
      </c>
      <c r="BI31" s="36">
        <f t="shared" ca="1" si="132"/>
        <v>0</v>
      </c>
      <c r="BJ31" s="36">
        <f t="shared" ca="1" si="133"/>
        <v>0</v>
      </c>
      <c r="BL31" s="30">
        <f ca="1">IF(AW31&gt;0, AW31, IF(BG31=1,2,0))</f>
        <v>0</v>
      </c>
      <c r="BM31" s="31">
        <f ca="1">IF(AX31&gt;0, AX31, IF(BH31=1,2,0))</f>
        <v>0</v>
      </c>
      <c r="BN31" s="31">
        <f ca="1">IF(AY31&gt;0, AY31, IF(BI31=1,2,0))</f>
        <v>0</v>
      </c>
      <c r="BO31" s="32">
        <f ca="1">IF(AZ31&gt;0, AZ31, IF(BJ31=1,2,0))</f>
        <v>4</v>
      </c>
      <c r="BQ31" s="35">
        <f t="shared" ca="1" si="134"/>
        <v>1</v>
      </c>
      <c r="BR31" s="35">
        <f t="shared" ca="1" si="135"/>
        <v>0</v>
      </c>
      <c r="BS31" s="35">
        <f t="shared" ca="1" si="136"/>
        <v>1</v>
      </c>
      <c r="BT31" s="35">
        <f t="shared" ca="1" si="137"/>
        <v>1</v>
      </c>
      <c r="BU31" s="18"/>
      <c r="BV31" s="18"/>
      <c r="BW31" s="18"/>
      <c r="BX31" s="18"/>
      <c r="BY31" s="18"/>
      <c r="BZ31" s="18"/>
    </row>
    <row r="32" spans="1:78" ht="18" customHeight="1" x14ac:dyDescent="0.3"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50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BB32" s="18"/>
      <c r="BC32" s="18"/>
      <c r="BD32" s="18"/>
      <c r="BE32" s="18"/>
      <c r="BF32" s="18"/>
      <c r="BG32" s="18"/>
      <c r="BH32" s="18"/>
      <c r="BI32" s="18"/>
      <c r="BJ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</row>
    <row r="33" spans="3:78" x14ac:dyDescent="0.3">
      <c r="BQ33" s="33"/>
      <c r="BR33" s="33"/>
      <c r="BS33" s="33"/>
      <c r="BT33" s="33"/>
      <c r="BU33" s="33"/>
      <c r="BV33" s="33"/>
      <c r="BW33" s="33"/>
      <c r="BX33" s="33"/>
      <c r="BY33" s="33"/>
      <c r="BZ33" s="33"/>
    </row>
    <row r="35" spans="3:78" x14ac:dyDescent="0.3">
      <c r="C35" s="1" t="s">
        <v>14</v>
      </c>
    </row>
    <row r="36" spans="3:78" x14ac:dyDescent="0.3">
      <c r="C36" s="9">
        <f ca="1">RAND()</f>
        <v>0.65483148573410599</v>
      </c>
      <c r="D36" s="9">
        <f t="shared" ref="D36:F39" ca="1" si="138">RAND()</f>
        <v>0.47280626365649259</v>
      </c>
      <c r="E36" s="9">
        <f t="shared" ca="1" si="138"/>
        <v>0.13354458276243508</v>
      </c>
      <c r="F36" s="9">
        <f t="shared" ca="1" si="138"/>
        <v>0.88985447256389705</v>
      </c>
      <c r="J36" s="9">
        <f ca="1">IF( MIN($C$36:$F$39) = C36, 1, (IF(MAX($C$36:$F$39) = C36, 1, 0)))</f>
        <v>0</v>
      </c>
      <c r="K36" s="9">
        <f t="shared" ref="K36:N39" ca="1" si="139">IF( MIN($C$36:$F$39) = D36, 1, (IF(MAX($C$36:$F$39) = D36, 1, 0)))</f>
        <v>0</v>
      </c>
      <c r="L36" s="9">
        <f t="shared" ca="1" si="139"/>
        <v>0</v>
      </c>
      <c r="M36" s="9">
        <f t="shared" ca="1" si="139"/>
        <v>0</v>
      </c>
      <c r="N36" s="1">
        <f t="shared" ca="1" si="139"/>
        <v>0</v>
      </c>
      <c r="Q36" s="9">
        <f ca="1">IF(J36=1, 2, 0)</f>
        <v>0</v>
      </c>
      <c r="R36" s="9">
        <f t="shared" ref="R36:T36" ca="1" si="140">IF(K36=1, 2, 0)</f>
        <v>0</v>
      </c>
      <c r="S36" s="9">
        <f t="shared" ca="1" si="140"/>
        <v>0</v>
      </c>
      <c r="T36" s="9">
        <f t="shared" ca="1" si="140"/>
        <v>0</v>
      </c>
    </row>
    <row r="37" spans="3:78" x14ac:dyDescent="0.3">
      <c r="C37" s="9">
        <f t="shared" ref="C37:C39" ca="1" si="141">RAND()</f>
        <v>0.72413969976347337</v>
      </c>
      <c r="D37" s="9">
        <f t="shared" ca="1" si="138"/>
        <v>0.34773411909086915</v>
      </c>
      <c r="E37" s="9">
        <f t="shared" ca="1" si="138"/>
        <v>0.34895448832671583</v>
      </c>
      <c r="F37" s="9">
        <f t="shared" ca="1" si="138"/>
        <v>0.3543889409106491</v>
      </c>
      <c r="J37" s="9">
        <f t="shared" ref="J37:J39" ca="1" si="142">IF( MIN($C$36:$F$39) = C37, 1, (IF(MAX($C$36:$F$39) = C37, 1, 0)))</f>
        <v>0</v>
      </c>
      <c r="K37" s="9">
        <f t="shared" ca="1" si="139"/>
        <v>0</v>
      </c>
      <c r="L37" s="9">
        <f t="shared" ca="1" si="139"/>
        <v>0</v>
      </c>
      <c r="M37" s="9">
        <f t="shared" ca="1" si="139"/>
        <v>0</v>
      </c>
      <c r="N37" s="1">
        <f t="shared" ca="1" si="139"/>
        <v>0</v>
      </c>
      <c r="Q37" s="9">
        <f t="shared" ref="Q37:Q39" ca="1" si="143">IF(J37=1, 2, 0)</f>
        <v>0</v>
      </c>
      <c r="R37" s="9">
        <f t="shared" ref="R37:R39" ca="1" si="144">IF(K37=1, 2, 0)</f>
        <v>0</v>
      </c>
      <c r="S37" s="9">
        <f t="shared" ref="S37:S39" ca="1" si="145">IF(L37=1, 2, 0)</f>
        <v>0</v>
      </c>
      <c r="T37" s="9">
        <f t="shared" ref="T37:T39" ca="1" si="146">IF(M37=1, 2, 0)</f>
        <v>0</v>
      </c>
    </row>
    <row r="38" spans="3:78" x14ac:dyDescent="0.3">
      <c r="C38" s="9">
        <f t="shared" ca="1" si="141"/>
        <v>0.29108035693487599</v>
      </c>
      <c r="D38" s="9">
        <f t="shared" ca="1" si="138"/>
        <v>0.91193865204180602</v>
      </c>
      <c r="E38" s="9">
        <f t="shared" ca="1" si="138"/>
        <v>0.57896147794577646</v>
      </c>
      <c r="F38" s="9">
        <f t="shared" ca="1" si="138"/>
        <v>0.87529748482736891</v>
      </c>
      <c r="J38" s="9">
        <f t="shared" ca="1" si="142"/>
        <v>0</v>
      </c>
      <c r="K38" s="9">
        <f t="shared" ca="1" si="139"/>
        <v>1</v>
      </c>
      <c r="L38" s="9">
        <f t="shared" ca="1" si="139"/>
        <v>0</v>
      </c>
      <c r="M38" s="9">
        <f t="shared" ca="1" si="139"/>
        <v>0</v>
      </c>
      <c r="N38" s="1">
        <f t="shared" ca="1" si="139"/>
        <v>0</v>
      </c>
      <c r="Q38" s="9">
        <f t="shared" ca="1" si="143"/>
        <v>0</v>
      </c>
      <c r="R38" s="9">
        <f t="shared" ca="1" si="144"/>
        <v>2</v>
      </c>
      <c r="S38" s="9">
        <f t="shared" ca="1" si="145"/>
        <v>0</v>
      </c>
      <c r="T38" s="9">
        <f t="shared" ca="1" si="146"/>
        <v>0</v>
      </c>
    </row>
    <row r="39" spans="3:78" x14ac:dyDescent="0.3">
      <c r="C39" s="9">
        <f t="shared" ca="1" si="141"/>
        <v>0.1421386601034359</v>
      </c>
      <c r="D39" s="9">
        <f t="shared" ca="1" si="138"/>
        <v>0.90899014733606609</v>
      </c>
      <c r="E39" s="9">
        <f t="shared" ca="1" si="138"/>
        <v>7.6722189699122367E-2</v>
      </c>
      <c r="F39" s="9">
        <f t="shared" ca="1" si="138"/>
        <v>0.75874842114343577</v>
      </c>
      <c r="J39" s="9">
        <f t="shared" ca="1" si="142"/>
        <v>0</v>
      </c>
      <c r="K39" s="9">
        <f t="shared" ca="1" si="139"/>
        <v>0</v>
      </c>
      <c r="L39" s="9">
        <f t="shared" ca="1" si="139"/>
        <v>1</v>
      </c>
      <c r="M39" s="9">
        <f t="shared" ca="1" si="139"/>
        <v>0</v>
      </c>
      <c r="N39" s="1">
        <f t="shared" ca="1" si="139"/>
        <v>0</v>
      </c>
      <c r="Q39" s="9">
        <f t="shared" ca="1" si="143"/>
        <v>0</v>
      </c>
      <c r="R39" s="9">
        <f t="shared" ca="1" si="144"/>
        <v>0</v>
      </c>
      <c r="S39" s="9">
        <f t="shared" ca="1" si="145"/>
        <v>2</v>
      </c>
      <c r="T39" s="9">
        <f t="shared" ca="1" si="146"/>
        <v>0</v>
      </c>
    </row>
    <row r="40" spans="3:78" x14ac:dyDescent="0.3">
      <c r="J40"/>
      <c r="K40"/>
      <c r="L40"/>
      <c r="M40"/>
      <c r="N40"/>
    </row>
    <row r="41" spans="3:78" x14ac:dyDescent="0.3">
      <c r="J41"/>
      <c r="K41"/>
      <c r="L41"/>
      <c r="M41"/>
      <c r="N41"/>
    </row>
  </sheetData>
  <conditionalFormatting sqref="A6:B8 BM9:XFD9 M8:AC8 P6:XFD6 A42:XFD1048576 A40:I41 O40:XFD41 BC8:XFD8 B9:AV9 AX9:BK9 AE8:BA8 X7:XFD7 P7:T7 V7 AB2 A10:XFD39">
    <cfRule type="cellIs" dxfId="42" priority="26" operator="equal">
      <formula>0</formula>
    </cfRule>
    <cfRule type="cellIs" dxfId="41" priority="27" operator="equal">
      <formula>32</formula>
    </cfRule>
    <cfRule type="cellIs" dxfId="40" priority="28" operator="equal">
      <formula>16</formula>
    </cfRule>
    <cfRule type="cellIs" dxfId="39" priority="29" operator="equal">
      <formula>8</formula>
    </cfRule>
    <cfRule type="cellIs" dxfId="38" priority="30" operator="equal">
      <formula>4</formula>
    </cfRule>
    <cfRule type="cellIs" dxfId="37" priority="31" operator="equal">
      <formula>2</formula>
    </cfRule>
  </conditionalFormatting>
  <conditionalFormatting sqref="C3:F8">
    <cfRule type="cellIs" dxfId="36" priority="20" operator="equal">
      <formula>0</formula>
    </cfRule>
    <cfRule type="cellIs" dxfId="35" priority="21" operator="equal">
      <formula>32</formula>
    </cfRule>
    <cfRule type="cellIs" dxfId="34" priority="22" operator="equal">
      <formula>16</formula>
    </cfRule>
    <cfRule type="cellIs" dxfId="33" priority="23" operator="equal">
      <formula>8</formula>
    </cfRule>
    <cfRule type="cellIs" dxfId="32" priority="24" operator="equal">
      <formula>4</formula>
    </cfRule>
    <cfRule type="cellIs" dxfId="31" priority="25" operator="equal">
      <formula>2</formula>
    </cfRule>
  </conditionalFormatting>
  <conditionalFormatting sqref="I8:L8">
    <cfRule type="cellIs" dxfId="30" priority="14" operator="equal">
      <formula>0</formula>
    </cfRule>
    <cfRule type="cellIs" dxfId="29" priority="15" operator="equal">
      <formula>32</formula>
    </cfRule>
    <cfRule type="cellIs" dxfId="28" priority="16" operator="equal">
      <formula>16</formula>
    </cfRule>
    <cfRule type="cellIs" dxfId="27" priority="17" operator="equal">
      <formula>8</formula>
    </cfRule>
    <cfRule type="cellIs" dxfId="26" priority="18" operator="equal">
      <formula>4</formula>
    </cfRule>
    <cfRule type="cellIs" dxfId="25" priority="19" operator="equal">
      <formula>2</formula>
    </cfRule>
  </conditionalFormatting>
  <conditionalFormatting sqref="C3:F6">
    <cfRule type="expression" dxfId="24" priority="13">
      <formula>(SUM(leftvalid,upvalid,downvalid,rightvalid)=0)</formula>
    </cfRule>
  </conditionalFormatting>
  <conditionalFormatting sqref="AD8">
    <cfRule type="cellIs" dxfId="23" priority="7" operator="equal">
      <formula>0</formula>
    </cfRule>
    <cfRule type="cellIs" dxfId="22" priority="8" operator="equal">
      <formula>32</formula>
    </cfRule>
    <cfRule type="cellIs" dxfId="21" priority="9" operator="equal">
      <formula>16</formula>
    </cfRule>
    <cfRule type="cellIs" dxfId="20" priority="10" operator="equal">
      <formula>8</formula>
    </cfRule>
    <cfRule type="cellIs" dxfId="19" priority="11" operator="equal">
      <formula>4</formula>
    </cfRule>
    <cfRule type="cellIs" dxfId="18" priority="12" operator="equal">
      <formula>2</formula>
    </cfRule>
  </conditionalFormatting>
  <conditionalFormatting sqref="BB8">
    <cfRule type="cellIs" dxfId="17" priority="1" operator="equal">
      <formula>0</formula>
    </cfRule>
    <cfRule type="cellIs" dxfId="16" priority="2" operator="equal">
      <formula>32</formula>
    </cfRule>
    <cfRule type="cellIs" dxfId="15" priority="3" operator="equal">
      <formula>16</formula>
    </cfRule>
    <cfRule type="cellIs" dxfId="14" priority="4" operator="equal">
      <formula>8</formula>
    </cfRule>
    <cfRule type="cellIs" dxfId="13" priority="5" operator="equal">
      <formula>4</formula>
    </cfRule>
    <cfRule type="cellIs" dxfId="12" priority="6" operator="equal">
      <formula>2</formula>
    </cfRule>
  </conditionalFormatting>
  <pageMargins left="0.7" right="0.7" top="0.75" bottom="0.75" header="0.3" footer="0.3"/>
  <pageSetup orientation="portrait" r:id="rId1"/>
  <ignoredErrors>
    <ignoredError sqref="J11:M11 J13:M13 K12:L12 J10 L10:M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left">
                <anchor moveWithCells="1" sizeWithCells="1">
                  <from>
                    <xdr:col>7</xdr:col>
                    <xdr:colOff>45720</xdr:colOff>
                    <xdr:row>5</xdr:row>
                    <xdr:rowOff>106680</xdr:rowOff>
                  </from>
                  <to>
                    <xdr:col>10</xdr:col>
                    <xdr:colOff>236220</xdr:colOff>
                    <xdr:row>5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right">
                <anchor moveWithCells="1" sizeWithCells="1">
                  <from>
                    <xdr:col>16</xdr:col>
                    <xdr:colOff>91440</xdr:colOff>
                    <xdr:row>5</xdr:row>
                    <xdr:rowOff>129540</xdr:rowOff>
                  </from>
                  <to>
                    <xdr:col>20</xdr:col>
                    <xdr:colOff>30480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own">
                <anchor moveWithCells="1" sizeWithCells="1">
                  <from>
                    <xdr:col>11</xdr:col>
                    <xdr:colOff>182880</xdr:colOff>
                    <xdr:row>5</xdr:row>
                    <xdr:rowOff>106680</xdr:rowOff>
                  </from>
                  <to>
                    <xdr:col>15</xdr:col>
                    <xdr:colOff>114300</xdr:colOff>
                    <xdr:row>5</xdr:row>
                    <xdr:rowOff>960120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p">
                <anchor moveWithCells="1" sizeWithCells="1">
                  <from>
                    <xdr:col>11</xdr:col>
                    <xdr:colOff>190500</xdr:colOff>
                    <xdr:row>4</xdr:row>
                    <xdr:rowOff>129540</xdr:rowOff>
                  </from>
                  <to>
                    <xdr:col>15</xdr:col>
                    <xdr:colOff>114300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dule1.newboard">
                <anchor moveWithCells="1" sizeWithCells="1">
                  <from>
                    <xdr:col>0</xdr:col>
                    <xdr:colOff>815340</xdr:colOff>
                    <xdr:row>6</xdr:row>
                    <xdr:rowOff>220980</xdr:rowOff>
                  </from>
                  <to>
                    <xdr:col>3</xdr:col>
                    <xdr:colOff>601980</xdr:colOff>
                    <xdr:row>7</xdr:row>
                    <xdr:rowOff>739140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enablekeyboard">
                <anchor moveWithCells="1" sizeWithCells="1">
                  <from>
                    <xdr:col>7</xdr:col>
                    <xdr:colOff>15240</xdr:colOff>
                    <xdr:row>6</xdr:row>
                    <xdr:rowOff>182880</xdr:rowOff>
                  </from>
                  <to>
                    <xdr:col>13</xdr:col>
                    <xdr:colOff>121920</xdr:colOff>
                    <xdr:row>7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disablekeyboard">
                <anchor moveWithCells="1" sizeWithCells="1">
                  <from>
                    <xdr:col>13</xdr:col>
                    <xdr:colOff>190500</xdr:colOff>
                    <xdr:row>6</xdr:row>
                    <xdr:rowOff>182880</xdr:rowOff>
                  </from>
                  <to>
                    <xdr:col>20</xdr:col>
                    <xdr:colOff>45720</xdr:colOff>
                    <xdr:row>7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J7"/>
  <sheetViews>
    <sheetView workbookViewId="0">
      <selection activeCell="B6" sqref="B6"/>
    </sheetView>
  </sheetViews>
  <sheetFormatPr baseColWidth="10" defaultColWidth="8.88671875" defaultRowHeight="14.4" x14ac:dyDescent="0.3"/>
  <cols>
    <col min="2" max="2" width="6" customWidth="1"/>
    <col min="3" max="3" width="5.6640625" customWidth="1"/>
    <col min="4" max="4" width="7.44140625" customWidth="1"/>
    <col min="5" max="5" width="6.6640625" customWidth="1"/>
  </cols>
  <sheetData>
    <row r="3" spans="2:10" ht="15" thickBot="1" x14ac:dyDescent="0.35">
      <c r="B3" t="s">
        <v>12</v>
      </c>
      <c r="G3" t="s">
        <v>13</v>
      </c>
    </row>
    <row r="4" spans="2:10" x14ac:dyDescent="0.3">
      <c r="B4" s="10">
        <v>4</v>
      </c>
      <c r="C4" s="11">
        <v>2</v>
      </c>
      <c r="D4" s="11">
        <v>2</v>
      </c>
      <c r="E4" s="12">
        <v>2</v>
      </c>
      <c r="G4" s="10"/>
      <c r="H4" s="11"/>
      <c r="I4" s="11"/>
      <c r="J4" s="12"/>
    </row>
    <row r="5" spans="2:10" x14ac:dyDescent="0.3">
      <c r="B5" s="13">
        <v>0</v>
      </c>
      <c r="C5" s="7">
        <v>2</v>
      </c>
      <c r="D5" s="7">
        <v>2</v>
      </c>
      <c r="E5" s="14">
        <v>2</v>
      </c>
      <c r="G5" s="13"/>
      <c r="H5" s="7"/>
      <c r="I5" s="7"/>
      <c r="J5" s="14"/>
    </row>
    <row r="6" spans="2:10" x14ac:dyDescent="0.3">
      <c r="B6" s="13">
        <v>2</v>
      </c>
      <c r="C6" s="7">
        <v>8</v>
      </c>
      <c r="D6" s="7">
        <v>16</v>
      </c>
      <c r="E6" s="14">
        <v>4</v>
      </c>
      <c r="G6" s="13"/>
      <c r="H6" s="7"/>
      <c r="I6" s="7"/>
      <c r="J6" s="14"/>
    </row>
    <row r="7" spans="2:10" ht="15" thickBot="1" x14ac:dyDescent="0.35">
      <c r="B7" s="15">
        <v>16</v>
      </c>
      <c r="C7" s="16">
        <v>16</v>
      </c>
      <c r="D7" s="16">
        <v>32</v>
      </c>
      <c r="E7" s="17">
        <v>32</v>
      </c>
      <c r="G7" s="15"/>
      <c r="H7" s="16"/>
      <c r="I7" s="16"/>
      <c r="J7" s="17"/>
    </row>
  </sheetData>
  <conditionalFormatting sqref="B4:E7">
    <cfRule type="cellIs" dxfId="11" priority="7" operator="equal">
      <formula>0</formula>
    </cfRule>
    <cfRule type="cellIs" dxfId="10" priority="8" operator="equal">
      <formula>32</formula>
    </cfRule>
    <cfRule type="cellIs" dxfId="9" priority="9" operator="equal">
      <formula>16</formula>
    </cfRule>
    <cfRule type="cellIs" dxfId="8" priority="10" operator="equal">
      <formula>8</formula>
    </cfRule>
    <cfRule type="cellIs" dxfId="7" priority="11" operator="equal">
      <formula>4</formula>
    </cfRule>
    <cfRule type="cellIs" dxfId="6" priority="12" operator="equal">
      <formula>2</formula>
    </cfRule>
  </conditionalFormatting>
  <conditionalFormatting sqref="G4:J7">
    <cfRule type="cellIs" dxfId="5" priority="1" operator="equal">
      <formula>0</formula>
    </cfRule>
    <cfRule type="cellIs" dxfId="4" priority="2" operator="equal">
      <formula>32</formula>
    </cfRule>
    <cfRule type="cellIs" dxfId="3" priority="3" operator="equal">
      <formula>16</formula>
    </cfRule>
    <cfRule type="cellIs" dxfId="2" priority="4" operator="equal">
      <formula>8</formula>
    </cfRule>
    <cfRule type="cellIs" dxfId="1" priority="5" operator="equal">
      <formula>4</formula>
    </cfRule>
    <cfRule type="cellIs" dxfId="0" priority="6" operator="equal">
      <formula>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16</vt:i4>
      </vt:variant>
    </vt:vector>
  </HeadingPairs>
  <TitlesOfParts>
    <vt:vector size="18" baseType="lpstr">
      <vt:lpstr>Sheet1</vt:lpstr>
      <vt:lpstr>Sheet2</vt:lpstr>
      <vt:lpstr>board</vt:lpstr>
      <vt:lpstr>downswipe</vt:lpstr>
      <vt:lpstr>downvalid</vt:lpstr>
      <vt:lpstr>gameover</vt:lpstr>
      <vt:lpstr>leftswipe</vt:lpstr>
      <vt:lpstr>leftvalid</vt:lpstr>
      <vt:lpstr>newboard</vt:lpstr>
      <vt:lpstr>original</vt:lpstr>
      <vt:lpstr>predown</vt:lpstr>
      <vt:lpstr>preleft</vt:lpstr>
      <vt:lpstr>preright</vt:lpstr>
      <vt:lpstr>preup</vt:lpstr>
      <vt:lpstr>rightswipe</vt:lpstr>
      <vt:lpstr>rightvalid</vt:lpstr>
      <vt:lpstr>upswipe</vt:lpstr>
      <vt:lpstr>upvalid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Katie Sullivan</dc:creator>
  <cp:lastModifiedBy>Cathy MONIER</cp:lastModifiedBy>
  <dcterms:created xsi:type="dcterms:W3CDTF">2014-04-16T05:25:21Z</dcterms:created>
  <dcterms:modified xsi:type="dcterms:W3CDTF">2014-10-27T14:51:38Z</dcterms:modified>
</cp:coreProperties>
</file>